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oring Methodology" sheetId="1" state="visible" r:id="rId3"/>
    <sheet name="Bills Tracked" sheetId="2" state="visible" r:id="rId4"/>
    <sheet name="OH House Members" sheetId="3" state="visible" r:id="rId5"/>
    <sheet name="OH Senate Members" sheetId="4" state="visible" r:id="rId6"/>
    <sheet name="Vote Detail" sheetId="5" state="visible" r:id="rId7"/>
    <sheet name="News &amp; Sponsorship Detail" sheetId="6" state="visible" r:id="rId8"/>
  </sheets>
  <definedNames>
    <definedName function="false" hidden="true" localSheetId="1" name="_xlnm._FilterDatabase" vbProcedure="false">'Bills Tracked'!$A$1:$K$27</definedName>
    <definedName function="false" hidden="true" localSheetId="5" name="_xlnm._FilterDatabase" vbProcedure="false">'News &amp; Sponsorship Detail'!$A$1:$H$35</definedName>
    <definedName function="false" hidden="true" localSheetId="2" name="_xlnm._FilterDatabase" vbProcedure="false">'OH House Members'!$A$1:$J$100</definedName>
    <definedName function="false" hidden="true" localSheetId="3" name="_xlnm._FilterDatabase" vbProcedure="false">'OH Senate Members'!$A$1:$J$34</definedName>
    <definedName function="false" hidden="true" localSheetId="4" name="_xlnm._FilterDatabase" vbProcedure="false">'Vote Detail'!$A$1:$J$13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<sst xmlns="http://schemas.openxmlformats.org/spreadsheetml/2006/main" count="1049" uniqueCount="460">
  <si>
    <t xml:space="preserve">Ohio Pride PAC Legislative Scorecard</t>
  </si>
  <si>
    <t xml:space="preserve">Scoring Methodology &amp; Weights</t>
  </si>
  <si>
    <t xml:space="preserve">SCORING CATEGORIES</t>
  </si>
  <si>
    <t xml:space="preserve">Floor Votes (50%)</t>
  </si>
  <si>
    <t xml:space="preserve">50%</t>
  </si>
  <si>
    <t xml:space="preserve">Yea on anti-LGBTQ+ bill = -1 per vote | Nay on anti-LGBTQ+ bill = +1 per vote | Yea on pro-LGBTQ+ bill = +1 | Nay on pro-LGBTQ+ bill = -1 | Absent/NV = 0. Consistent pro-equality voting alone yields an A.</t>
  </si>
  <si>
    <t xml:space="preserve">Bill Sponsorship (30%)</t>
  </si>
  <si>
    <t xml:space="preserve">30%</t>
  </si>
  <si>
    <t xml:space="preserve">Primary sponsor of anti-LGBTQ+ bill = -3 per bill | Co-sponsor of anti-LGBTQ+ bill = -2 per bill | Primary sponsor of pro-LGBTQ+ bill = +3 per bill | Co-sponsor of pro-LGBTQ+ bill = +2 per bill. Normalized to 0-100 scale.</t>
  </si>
  <si>
    <t xml:space="preserve">News &amp; Public Statements (20%)</t>
  </si>
  <si>
    <t xml:space="preserve">20%</t>
  </si>
  <si>
    <t xml:space="preserve">Based on public reporting: anti-LGBTQ+ rhetoric/actions = -1 to -3 per incident | pro-LGBTQ+ advocacy/statements = +1 to +3 per incident | Scandals involving hypocrisy on LGBTQ+ issues = additional -2. Normalized to 0-100 scale.</t>
  </si>
  <si>
    <t xml:space="preserve">GRADE SCALE</t>
  </si>
  <si>
    <t xml:space="preserve">A+</t>
  </si>
  <si>
    <t xml:space="preserve">90-100</t>
  </si>
  <si>
    <t xml:space="preserve">Champion: sponsors pro-equality bills, vocal public advocate, consistent pro-equality votes</t>
  </si>
  <si>
    <t xml:space="preserve">A</t>
  </si>
  <si>
    <t xml:space="preserve">73-89</t>
  </si>
  <si>
    <t xml:space="preserve">Strong Ally: consistently votes for equality across all bills</t>
  </si>
  <si>
    <t xml:space="preserve">B</t>
  </si>
  <si>
    <t xml:space="preserve">55-72</t>
  </si>
  <si>
    <t xml:space="preserve">Supportive: generally votes pro-equality with some mixed record or occasional crossover</t>
  </si>
  <si>
    <t xml:space="preserve">C</t>
  </si>
  <si>
    <t xml:space="preserve">40-54</t>
  </si>
  <si>
    <t xml:space="preserve">Mixed Record: occasional crossover vote but largely follows party line</t>
  </si>
  <si>
    <t xml:space="preserve">D</t>
  </si>
  <si>
    <t xml:space="preserve">20-39</t>
  </si>
  <si>
    <t xml:space="preserve">Unfriendly: votes anti-equality on party line but does not actively sponsor or advocate</t>
  </si>
  <si>
    <t xml:space="preserve">F</t>
  </si>
  <si>
    <t xml:space="preserve">0-19</t>
  </si>
  <si>
    <t xml:space="preserve">Hostile: votes anti-equality + sponsors anti-LGBTQ+ bills + anti-LGBTQ+ rhetoric/news</t>
  </si>
  <si>
    <t xml:space="preserve">DATA SOURCES</t>
  </si>
  <si>
    <t xml:space="preserve">  1.</t>
  </si>
  <si>
    <t xml:space="preserve">Ohio Legislature (legislature.ohio.gov) - roll call votes</t>
  </si>
  <si>
    <t xml:space="preserve">  2.</t>
  </si>
  <si>
    <t xml:space="preserve">LegiScan (legiscan.com/OH) - bill tracking and vote data</t>
  </si>
  <si>
    <t xml:space="preserve">  3.</t>
  </si>
  <si>
    <t xml:space="preserve">The Buckeye Flame - LGBTQ+ legislative coverage</t>
  </si>
  <si>
    <t xml:space="preserve">  4.</t>
  </si>
  <si>
    <t xml:space="preserve">Ohio Capital Journal - Statehouse reporting</t>
  </si>
  <si>
    <t xml:space="preserve">  5.</t>
  </si>
  <si>
    <t xml:space="preserve">Equality Ohio - legislative scorecards and analysis</t>
  </si>
  <si>
    <t xml:space="preserve">  6.</t>
  </si>
  <si>
    <t xml:space="preserve">Ohio House / Ohio Senate official sites - member directories and vote records</t>
  </si>
  <si>
    <t xml:space="preserve">  7.</t>
  </si>
  <si>
    <t xml:space="preserve">Freedom Index - roll call vote records</t>
  </si>
  <si>
    <t xml:space="preserve">  8.</t>
  </si>
  <si>
    <t xml:space="preserve">OhioPride.org/issues - bill tracker (22 bills in 136th GA)</t>
  </si>
  <si>
    <t xml:space="preserve">Bill #</t>
  </si>
  <si>
    <t xml:space="preserve">Title</t>
  </si>
  <si>
    <t xml:space="preserve">GA</t>
  </si>
  <si>
    <t xml:space="preserve">Chamber</t>
  </si>
  <si>
    <t xml:space="preserve">Category</t>
  </si>
  <si>
    <t xml:space="preserve">Stance</t>
  </si>
  <si>
    <t xml:space="preserve">Status</t>
  </si>
  <si>
    <t xml:space="preserve">Primary Sponsor(s)</t>
  </si>
  <si>
    <t xml:space="preserve">Co-Sponsor(s)</t>
  </si>
  <si>
    <t xml:space="preserve">Vote Count</t>
  </si>
  <si>
    <t xml:space="preserve">Date of Last Vote</t>
  </si>
  <si>
    <t xml:space="preserve">SB 1</t>
  </si>
  <si>
    <t xml:space="preserve">Advance Ohio Higher Education Act (DEI Ban)</t>
  </si>
  <si>
    <t xml:space="preserve">136th</t>
  </si>
  <si>
    <t xml:space="preserve">Senate</t>
  </si>
  <si>
    <t xml:space="preserve">Education/DEI</t>
  </si>
  <si>
    <t xml:space="preserve">Anti-LGBTQ+</t>
  </si>
  <si>
    <t xml:space="preserve">Signed Into Law (3/28/2026)</t>
  </si>
  <si>
    <t xml:space="preserve">Sen. Jerry Cirino</t>
  </si>
  <si>
    <t xml:space="preserve">Rep. Tom Young (HB 6 companion)</t>
  </si>
  <si>
    <t xml:space="preserve">Senate: 21-11; House: 59-34</t>
  </si>
  <si>
    <t xml:space="preserve">3/26/2025</t>
  </si>
  <si>
    <t xml:space="preserve">SB 34</t>
  </si>
  <si>
    <t xml:space="preserve">Historical Educational Displays Act (Ten Commandments)</t>
  </si>
  <si>
    <t xml:space="preserve">Passed Senate; In House Committee</t>
  </si>
  <si>
    <t xml:space="preserve">Sen. Terry Johnson</t>
  </si>
  <si>
    <t xml:space="preserve">Senate passed 10/19</t>
  </si>
  <si>
    <t xml:space="preserve">10/19/2025</t>
  </si>
  <si>
    <t xml:space="preserve">SB 53</t>
  </si>
  <si>
    <t xml:space="preserve">Civil Actions for Vandalism/Riot Activity</t>
  </si>
  <si>
    <t xml:space="preserve">Civil Rights</t>
  </si>
  <si>
    <t xml:space="preserve">In Committee</t>
  </si>
  <si>
    <t xml:space="preserve">Sen. Tim Schaffer</t>
  </si>
  <si>
    <t xml:space="preserve">SB 113</t>
  </si>
  <si>
    <t xml:space="preserve">Prohibit DEI in Public Schools</t>
  </si>
  <si>
    <t xml:space="preserve">Sen. Andrew Brenner</t>
  </si>
  <si>
    <t xml:space="preserve">SB 274</t>
  </si>
  <si>
    <t xml:space="preserve">Remove Minor Mental Health Consent</t>
  </si>
  <si>
    <t xml:space="preserve">Youth/Family</t>
  </si>
  <si>
    <t xml:space="preserve">Introduced</t>
  </si>
  <si>
    <t xml:space="preserve">Sen. Andrew Brenner; Sen. Jerry Cirino</t>
  </si>
  <si>
    <t xml:space="preserve">Sub HB 96</t>
  </si>
  <si>
    <t xml:space="preserve">State Budget (Anti-LGBTQ+ Provisions)</t>
  </si>
  <si>
    <t xml:space="preserve">House</t>
  </si>
  <si>
    <t xml:space="preserve">Multiple</t>
  </si>
  <si>
    <t xml:space="preserve">Partially Vetoed (6/30/2025)</t>
  </si>
  <si>
    <t xml:space="preserve">Rep. Brian Stewart</t>
  </si>
  <si>
    <t xml:space="preserve">6/30/2025</t>
  </si>
  <si>
    <t xml:space="preserve">HB 155</t>
  </si>
  <si>
    <t xml:space="preserve">Rep. Beth Lear; Rep. Josh Williams</t>
  </si>
  <si>
    <t xml:space="preserve">HB 172</t>
  </si>
  <si>
    <t xml:space="preserve">Rep. Johnathan Newman</t>
  </si>
  <si>
    <t xml:space="preserve">HB 190</t>
  </si>
  <si>
    <t xml:space="preserve">Given Names Act (Dead Naming)</t>
  </si>
  <si>
    <t xml:space="preserve">Anti-Trans</t>
  </si>
  <si>
    <t xml:space="preserve">Rep. Johnathan Newman; Rep. Josh Williams</t>
  </si>
  <si>
    <t xml:space="preserve">HB 196</t>
  </si>
  <si>
    <t xml:space="preserve">Trans Candidate Name Disclosure</t>
  </si>
  <si>
    <t xml:space="preserve">Elections</t>
  </si>
  <si>
    <t xml:space="preserve">Rep. Rodney Creech; Rep. Angie King</t>
  </si>
  <si>
    <t xml:space="preserve">HB 249</t>
  </si>
  <si>
    <t xml:space="preserve">Indecent Exposure Modernization Act (Drag Ban)</t>
  </si>
  <si>
    <t xml:space="preserve">Expression</t>
  </si>
  <si>
    <t xml:space="preserve">Passed House; In Senate</t>
  </si>
  <si>
    <t xml:space="preserve">Rep. Angie King; Rep. Josh Williams</t>
  </si>
  <si>
    <t xml:space="preserve">House: 63-32</t>
  </si>
  <si>
    <t xml:space="preserve">3/25/2026</t>
  </si>
  <si>
    <t xml:space="preserve">HB 262</t>
  </si>
  <si>
    <t xml:space="preserve">Natural Family Month</t>
  </si>
  <si>
    <t xml:space="preserve">HB 507</t>
  </si>
  <si>
    <t xml:space="preserve">School Chaplain Act</t>
  </si>
  <si>
    <t xml:space="preserve">Rep. Kevin Ritter; Rep. Johnathan Newman</t>
  </si>
  <si>
    <t xml:space="preserve">HB 693</t>
  </si>
  <si>
    <t xml:space="preserve">Affirming Families First (Anti-Affirming Care)</t>
  </si>
  <si>
    <t xml:space="preserve">Healthcare</t>
  </si>
  <si>
    <t xml:space="preserve">Rep. Gary Click; Rep. Josh Williams</t>
  </si>
  <si>
    <t xml:space="preserve">HB 796</t>
  </si>
  <si>
    <t xml:space="preserve">Inmates Housed by Biological Sex</t>
  </si>
  <si>
    <t xml:space="preserve">Corrections</t>
  </si>
  <si>
    <t xml:space="preserve">Rep. Josh Williams</t>
  </si>
  <si>
    <t xml:space="preserve">HB 798</t>
  </si>
  <si>
    <t xml:space="preserve">Privacy Protection Act (Bathroom/Name/Certificate Ban)</t>
  </si>
  <si>
    <t xml:space="preserve">SB 70</t>
  </si>
  <si>
    <t xml:space="preserve">Ohio Fairness Act</t>
  </si>
  <si>
    <t xml:space="preserve">Pro-LGBTQ+</t>
  </si>
  <si>
    <t xml:space="preserve">In Committee (12th introduction)</t>
  </si>
  <si>
    <t xml:space="preserve">Sen. Nickie Antonio</t>
  </si>
  <si>
    <t xml:space="preserve">SB 71</t>
  </si>
  <si>
    <t xml:space="preserve">Prohibit Conversion Therapy for Minors</t>
  </si>
  <si>
    <t xml:space="preserve">Sen. Nickie Antonio; Sen. Beth Liston</t>
  </si>
  <si>
    <t xml:space="preserve">SB 211</t>
  </si>
  <si>
    <t xml:space="preserve">Love Makes a Family Week</t>
  </si>
  <si>
    <t xml:space="preserve">HB 136</t>
  </si>
  <si>
    <t xml:space="preserve">Ohio Fairness Act (House Companion)</t>
  </si>
  <si>
    <t xml:space="preserve">Rep. Tristan Rader; Rep. Crystal Lett</t>
  </si>
  <si>
    <t xml:space="preserve">HB 300</t>
  </si>
  <si>
    <t xml:space="preserve">Rep. Karen Brownlee; Rep. Crystal Lett</t>
  </si>
  <si>
    <t xml:space="preserve">HB 306</t>
  </si>
  <si>
    <t xml:space="preserve">Hate Crimes Act</t>
  </si>
  <si>
    <t xml:space="preserve">Rep. Dontavius Jarrells; Rep. Josh Williams</t>
  </si>
  <si>
    <t xml:space="preserve">HB 327</t>
  </si>
  <si>
    <t xml:space="preserve">PRIDE Act (Parents' Rights to Inclusion)</t>
  </si>
  <si>
    <t xml:space="preserve">Rep. Karen Brownlee; Rep. Darnell Brewer</t>
  </si>
  <si>
    <t xml:space="preserve">HB 68</t>
  </si>
  <si>
    <t xml:space="preserve">SAFE Act (Gender-Affirming Care Ban + Sports Ban)</t>
  </si>
  <si>
    <t xml:space="preserve">135th</t>
  </si>
  <si>
    <t xml:space="preserve">Healthcare/Anti-Trans</t>
  </si>
  <si>
    <t xml:space="preserve">Signed Into Law (Veto Overridden 1/24/2024)</t>
  </si>
  <si>
    <t xml:space="preserve">Rep. Gary Click</t>
  </si>
  <si>
    <t xml:space="preserve">Rep. Jena Powell</t>
  </si>
  <si>
    <t xml:space="preserve">House: 64-28 (orig), 65-28 (override); Senate: override 24-8</t>
  </si>
  <si>
    <t xml:space="preserve">1/24/2024</t>
  </si>
  <si>
    <t xml:space="preserve">HB 8</t>
  </si>
  <si>
    <t xml:space="preserve">Parents' Bill of Rights (Forced Outing)</t>
  </si>
  <si>
    <t xml:space="preserve">Signed Into Law</t>
  </si>
  <si>
    <t xml:space="preserve">Rep. Adam Bird (original); amended in Senate</t>
  </si>
  <si>
    <t xml:space="preserve">House: 57-31; Senate: 24-7</t>
  </si>
  <si>
    <t xml:space="preserve">12/18/2024</t>
  </si>
  <si>
    <t xml:space="preserve">SB 104</t>
  </si>
  <si>
    <t xml:space="preserve">Protect All Students Act (Bathroom Ban)</t>
  </si>
  <si>
    <t xml:space="preserve">Signed Into Law (11/27/2024)</t>
  </si>
  <si>
    <t xml:space="preserve">Sen. Jerry Cirino; Sen. Andrew Brenner</t>
  </si>
  <si>
    <t xml:space="preserve">Senate: 24-7; House: 60-31</t>
  </si>
  <si>
    <t xml:space="preserve">11/13/2024</t>
  </si>
  <si>
    <t xml:space="preserve">District</t>
  </si>
  <si>
    <t xml:space="preserve">Name</t>
  </si>
  <si>
    <t xml:space="preserve">Party</t>
  </si>
  <si>
    <t xml:space="preserve">Sponsorship Score</t>
  </si>
  <si>
    <t xml:space="preserve">Vote Score</t>
  </si>
  <si>
    <t xml:space="preserve">News Score</t>
  </si>
  <si>
    <t xml:space="preserve">Raw Total</t>
  </si>
  <si>
    <t xml:space="preserve">Weighted Score (0-100)</t>
  </si>
  <si>
    <t xml:space="preserve">Grade</t>
  </si>
  <si>
    <t xml:space="preserve">Notes</t>
  </si>
  <si>
    <t xml:space="preserve">Dontavius L. Jarrells</t>
  </si>
  <si>
    <t xml:space="preserve">Primary sponsor HB 306 (Hate Crimes Act). Votes consistently against anti-LGBTQ+ bills.</t>
  </si>
  <si>
    <t xml:space="preserve">Latyna M. Humphrey</t>
  </si>
  <si>
    <t xml:space="preserve">Votes against anti-LGBTQ+ bills.</t>
  </si>
  <si>
    <t xml:space="preserve">Ismail Mohamed</t>
  </si>
  <si>
    <t xml:space="preserve">Beryl Brown Piccolantonio</t>
  </si>
  <si>
    <t xml:space="preserve">Meredith R. Lawson-Rowe</t>
  </si>
  <si>
    <t xml:space="preserve">Christine Cockley</t>
  </si>
  <si>
    <t xml:space="preserve">C. Allison Russo</t>
  </si>
  <si>
    <t xml:space="preserve">Votes against anti-LGBTQ+ bills. House Minority Leader.</t>
  </si>
  <si>
    <t xml:space="preserve">Anita Somani</t>
  </si>
  <si>
    <t xml:space="preserve">Votes against anti-LGBTQ+ bills. Medical professional; vocal on healthcare bills.</t>
  </si>
  <si>
    <t xml:space="preserve">Munira Abdullahi</t>
  </si>
  <si>
    <t xml:space="preserve">Mark Sigrist</t>
  </si>
  <si>
    <t xml:space="preserve">Crystal Lett</t>
  </si>
  <si>
    <t xml:space="preserve">Primary sponsor HB 136 (Fairness Act), co-sponsor HB 300 (conversion therapy ban). Champion.</t>
  </si>
  <si>
    <t xml:space="preserve">Brian Stewart</t>
  </si>
  <si>
    <t xml:space="preserve">R</t>
  </si>
  <si>
    <t xml:space="preserve">Primary sponsor Sub HB 96 (budget with anti-LGBTQ+ provisions). Votes for anti-LGBTQ+ bills.</t>
  </si>
  <si>
    <t xml:space="preserve">Tristan Rader</t>
  </si>
  <si>
    <t xml:space="preserve">Primary sponsor HB 136 (Fairness Act). Vocal advocate for LGBTQ+ rights. Hosts Pride press conferences.</t>
  </si>
  <si>
    <t xml:space="preserve">Sean P. Brennan</t>
  </si>
  <si>
    <t xml:space="preserve">Chris Glassburn</t>
  </si>
  <si>
    <t xml:space="preserve">Bride Rose Sweeney</t>
  </si>
  <si>
    <t xml:space="preserve">Michael D. Dovilla</t>
  </si>
  <si>
    <t xml:space="preserve">Votes for anti-LGBTQ+ bills.</t>
  </si>
  <si>
    <t xml:space="preserve">Juanita O. Brent</t>
  </si>
  <si>
    <t xml:space="preserve">Phillip M. Robinson, Jr.</t>
  </si>
  <si>
    <t xml:space="preserve">Terrence Upchurch</t>
  </si>
  <si>
    <t xml:space="preserve">Eric Synenberg</t>
  </si>
  <si>
    <t xml:space="preserve">Votes against anti-LGBTQ+ bills. Participated in Pride press conference.</t>
  </si>
  <si>
    <t xml:space="preserve">Darnell T. Brewer</t>
  </si>
  <si>
    <t xml:space="preserve">Co-sponsor HB 327 (PRIDE Act). Votes against anti-LGBTQ+ bills.</t>
  </si>
  <si>
    <t xml:space="preserve">Daniel P. Troy</t>
  </si>
  <si>
    <t xml:space="preserve">Dani Isaacsohn</t>
  </si>
  <si>
    <t xml:space="preserve">Votes against anti-LGBTQ+ bills. Vocal opponent of HB 68 in 135th GA.</t>
  </si>
  <si>
    <t xml:space="preserve">Cecil Thomas</t>
  </si>
  <si>
    <t xml:space="preserve">Ashley Bryant Bailey</t>
  </si>
  <si>
    <t xml:space="preserve">Rachel B. Baker</t>
  </si>
  <si>
    <t xml:space="preserve">Karen Brownlee</t>
  </si>
  <si>
    <t xml:space="preserve">Primary sponsor HB 300 (conversion therapy ban), HB 327 (PRIDE Act). Strong champion.</t>
  </si>
  <si>
    <t xml:space="preserve">Cindy Abrams</t>
  </si>
  <si>
    <t xml:space="preserve">Mike Odioso</t>
  </si>
  <si>
    <t xml:space="preserve">Bill Roemer</t>
  </si>
  <si>
    <t xml:space="preserve">Jack K. Daniels</t>
  </si>
  <si>
    <t xml:space="preserve">Veronica R. Sims</t>
  </si>
  <si>
    <t xml:space="preserve">Derrick Hall</t>
  </si>
  <si>
    <t xml:space="preserve">Steve Demetriou</t>
  </si>
  <si>
    <t xml:space="preserve">Andrea White</t>
  </si>
  <si>
    <t xml:space="preserve">Voted against HB 8 (forced outing). Otherwise votes party line on anti-LGBTQ+ bills.</t>
  </si>
  <si>
    <t xml:space="preserve">Tom Young</t>
  </si>
  <si>
    <t xml:space="preserve">Co-sponsor HB 6 (companion to SB 1 DEI ban). Votes for anti-LGBTQ+ bills.</t>
  </si>
  <si>
    <t xml:space="preserve">Desiree Tims</t>
  </si>
  <si>
    <t xml:space="preserve">Phil Plummer</t>
  </si>
  <si>
    <t xml:space="preserve">Rodney Creech</t>
  </si>
  <si>
    <t xml:space="preserve">Primary sponsor HB 196 (trans candidate disclosure). Accused of sexual misconduct with minor relative (BCI documents). Votes for anti-LGBTQ+ bills.</t>
  </si>
  <si>
    <t xml:space="preserve">Erika White</t>
  </si>
  <si>
    <t xml:space="preserve">Elgin Rogers, Jr.</t>
  </si>
  <si>
    <t xml:space="preserve">Michele Grim</t>
  </si>
  <si>
    <t xml:space="preserve">Josh Williams</t>
  </si>
  <si>
    <t xml:space="preserve">Primary/co-sponsor of 8+ anti-LGBTQ+ bills: HB 249, HB 155, HB 190, HB 262, HB 693, HB 796, HB 798. Most prolific anti-LGBTQ+ bill author in 136th GA. Also co-sponsor HB 306 (Hate Crimes, bipartisan).</t>
  </si>
  <si>
    <t xml:space="preserve">Jennifer Gross</t>
  </si>
  <si>
    <t xml:space="preserve">Thomas Hall</t>
  </si>
  <si>
    <t xml:space="preserve">Diane Mullins</t>
  </si>
  <si>
    <t xml:space="preserve">Scott Oelslager</t>
  </si>
  <si>
    <t xml:space="preserve">Jim Thomas</t>
  </si>
  <si>
    <t xml:space="preserve">Matthew Kishman</t>
  </si>
  <si>
    <t xml:space="preserve">Jodi Salvo</t>
  </si>
  <si>
    <t xml:space="preserve">Gayle Manning</t>
  </si>
  <si>
    <t xml:space="preserve">Voted against HB 8 (forced outing) and original HB 6 (sports ban) in committee. Otherwise party line.</t>
  </si>
  <si>
    <t xml:space="preserve">Joseph A. Miller, III</t>
  </si>
  <si>
    <t xml:space="preserve">Kellie Deeter</t>
  </si>
  <si>
    <t xml:space="preserve">Michelle Teska</t>
  </si>
  <si>
    <t xml:space="preserve">Adam Mathews</t>
  </si>
  <si>
    <t xml:space="preserve">Jamie Callender</t>
  </si>
  <si>
    <t xml:space="preserve">Only Republican to vote against HB 68, HB 6 (sports ban), HB 8, and HB 249. Publicly stated: 'I am a Republican because I believe in empowering individuals and limiting government.' Consistent crossover voter.</t>
  </si>
  <si>
    <t xml:space="preserve">Lauren McNally</t>
  </si>
  <si>
    <t xml:space="preserve">Tex Fischer</t>
  </si>
  <si>
    <t xml:space="preserve">Brian Lorenz</t>
  </si>
  <si>
    <t xml:space="preserve">Beth Lear</t>
  </si>
  <si>
    <t xml:space="preserve">Primary sponsor HB 155 (DEI ban), HB 262 (Natural Family Month). Anti-equality rhetoric. Votes for anti-LGBTQ+ bills.</t>
  </si>
  <si>
    <t xml:space="preserve">Jean Schmidt</t>
  </si>
  <si>
    <t xml:space="preserve">Adam C. Bird</t>
  </si>
  <si>
    <t xml:space="preserve">Votes for anti-LGBTQ+ bills. Promoted SB 104 (bathroom ban) signing.</t>
  </si>
  <si>
    <t xml:space="preserve">Nick Santucci</t>
  </si>
  <si>
    <t xml:space="preserve">David Thomas</t>
  </si>
  <si>
    <t xml:space="preserve">Sharon A. Ray</t>
  </si>
  <si>
    <t xml:space="preserve">Melanie Miller</t>
  </si>
  <si>
    <t xml:space="preserve">Thaddeus J. Claggett</t>
  </si>
  <si>
    <t xml:space="preserve">Kevin D. Miller</t>
  </si>
  <si>
    <t xml:space="preserve">Brian Lampton</t>
  </si>
  <si>
    <t xml:space="preserve">Levi Dean</t>
  </si>
  <si>
    <t xml:space="preserve">Heidi Workman</t>
  </si>
  <si>
    <t xml:space="preserve">Jeff LaRe</t>
  </si>
  <si>
    <t xml:space="preserve">Bernard Willis</t>
  </si>
  <si>
    <t xml:space="preserve">Haraz N. Ghanbari</t>
  </si>
  <si>
    <t xml:space="preserve">Marilyn John</t>
  </si>
  <si>
    <t xml:space="preserve">Meredith Craig</t>
  </si>
  <si>
    <t xml:space="preserve">Matt Huffman</t>
  </si>
  <si>
    <t xml:space="preserve">Votes for anti-LGBTQ+ bills. Former Senate President who advanced anti-LGBTQ+ agenda.</t>
  </si>
  <si>
    <t xml:space="preserve">Monica Robb Blasdel</t>
  </si>
  <si>
    <t xml:space="preserve">Johnathan Newman</t>
  </si>
  <si>
    <t xml:space="preserve">Primary sponsor HB 190 (Given Names Act), HB 172 (minor mental health consent removal), co-sponsor HB 507. Ties to Center for Christian Virtue (SPLC-designated anti-LGBTQ group).</t>
  </si>
  <si>
    <t xml:space="preserve">James M. Hoops</t>
  </si>
  <si>
    <t xml:space="preserve">Roy Klopfenstein</t>
  </si>
  <si>
    <t xml:space="preserve">Ty D. Mathews</t>
  </si>
  <si>
    <t xml:space="preserve">Angela N. King</t>
  </si>
  <si>
    <t xml:space="preserve">Primary sponsor HB 249 (drag ban), co-sponsor HB 196 (trans candidate disclosure). Vocal proponent of anti-LGBTQ+ legislation.</t>
  </si>
  <si>
    <t xml:space="preserve">Tim Barhorst</t>
  </si>
  <si>
    <t xml:space="preserve">Tracy M. Richardson</t>
  </si>
  <si>
    <t xml:space="preserve">Riordan T. McClain</t>
  </si>
  <si>
    <t xml:space="preserve">Gary Click</t>
  </si>
  <si>
    <t xml:space="preserve">Primary sponsor HB 68 (135th GA, gender-affirming care ban) and HB 693 (affirming families). Compared trans people to 'Lucifer.' Accused of sexual misconduct-related statements involving minors. Most prominent anti-trans legislator in Ohio.</t>
  </si>
  <si>
    <t xml:space="preserve">D. J. Swearingen</t>
  </si>
  <si>
    <t xml:space="preserve">Justin Pizzulli</t>
  </si>
  <si>
    <t xml:space="preserve">Bob Peterson</t>
  </si>
  <si>
    <t xml:space="preserve">Mark Johnson</t>
  </si>
  <si>
    <t xml:space="preserve">Jason Stephens</t>
  </si>
  <si>
    <t xml:space="preserve">Kevin Ritter</t>
  </si>
  <si>
    <t xml:space="preserve">Primary sponsor HB 507 (School Chaplain Act). Votes for anti-LGBTQ+ bills.</t>
  </si>
  <si>
    <t xml:space="preserve">Ty Moore</t>
  </si>
  <si>
    <t xml:space="preserve">Ron Ferguson</t>
  </si>
  <si>
    <t xml:space="preserve">Adam Holmes</t>
  </si>
  <si>
    <t xml:space="preserve">Mark Hiner</t>
  </si>
  <si>
    <t xml:space="preserve">Sarah Fowler Arthur</t>
  </si>
  <si>
    <t xml:space="preserve">Votes for anti-LGBTQ+ bills. Known for far-right positions.</t>
  </si>
  <si>
    <t xml:space="preserve">Rob McColley</t>
  </si>
  <si>
    <t xml:space="preserve">Theresa Gavarone</t>
  </si>
  <si>
    <t xml:space="preserve">Michele Reynolds</t>
  </si>
  <si>
    <t xml:space="preserve">George F. Lang</t>
  </si>
  <si>
    <t xml:space="preserve">Stephen A. Huffman</t>
  </si>
  <si>
    <t xml:space="preserve">Willis E. Blackshear, Jr.</t>
  </si>
  <si>
    <t xml:space="preserve">Steve Wilson</t>
  </si>
  <si>
    <t xml:space="preserve">Louis W. Blessing, III</t>
  </si>
  <si>
    <t xml:space="preserve">Voted against HB 8 (forced outing) in Senate. Otherwise votes party line.</t>
  </si>
  <si>
    <t xml:space="preserve">Catherine D. Ingram</t>
  </si>
  <si>
    <t xml:space="preserve">Votes against anti-LGBTQ+ bills. Vocal opponent of SB 104 (bathroom ban).</t>
  </si>
  <si>
    <t xml:space="preserve">Kyle Koehler</t>
  </si>
  <si>
    <t xml:space="preserve">Paula Hicks-Hudson</t>
  </si>
  <si>
    <t xml:space="preserve">Votes against anti-LGBTQ+ bills. Argued 'Just let me live. Let me be' during HB 68 override debate.</t>
  </si>
  <si>
    <t xml:space="preserve">Susan Manchester</t>
  </si>
  <si>
    <t xml:space="preserve">Nathan H. Manning</t>
  </si>
  <si>
    <t xml:space="preserve">Only Republican senator to vote against HB 68 veto override. Otherwise generally votes party line. Notable crossover on major bill.</t>
  </si>
  <si>
    <t xml:space="preserve">Terry Johnson</t>
  </si>
  <si>
    <t xml:space="preserve">Primary sponsor SB 34 (Ten Commandments in schools). Votes for anti-LGBTQ+ bills.</t>
  </si>
  <si>
    <t xml:space="preserve">Hearcel F. Craig</t>
  </si>
  <si>
    <t xml:space="preserve">Beth Liston</t>
  </si>
  <si>
    <t xml:space="preserve">Co-sponsor SB 71 (conversion therapy ban). Votes against anti-LGBTQ+ bills.</t>
  </si>
  <si>
    <t xml:space="preserve">Shane Wilkin</t>
  </si>
  <si>
    <t xml:space="preserve">Jerry C. Cirino</t>
  </si>
  <si>
    <t xml:space="preserve">Primary sponsor SB 1 (DEI ban), co-sponsor SB 104 (bathroom ban), SB 274 (minor consent removal). Used religious arguments to support HB 68 override. Most prolific anti-LGBTQ+ senator.</t>
  </si>
  <si>
    <t xml:space="preserve">Andrew O. Brenner</t>
  </si>
  <si>
    <t xml:space="preserve">Primary sponsor SB 113 (school DEI ban), SB 274 (minor consent), co-sponsor SB 104 (bathroom ban). Called DEI 'institutional discrimination.'</t>
  </si>
  <si>
    <t xml:space="preserve">Tim Schaffer</t>
  </si>
  <si>
    <t xml:space="preserve">Primary sponsor SB 53 (anti-protest/vandalism). Votes for anti-LGBTQ+ bills.</t>
  </si>
  <si>
    <t xml:space="preserve">Kent Smith</t>
  </si>
  <si>
    <t xml:space="preserve">Votes against anti-LGBTQ+ bills. Criticized 'state-sponsored bullying of trans youth' during HB 68 debate.</t>
  </si>
  <si>
    <t xml:space="preserve">Mark Romanchuk</t>
  </si>
  <si>
    <t xml:space="preserve">Nickie J. Antonio</t>
  </si>
  <si>
    <t xml:space="preserve">Primary sponsor SB 70 (Fairness Act, 12th introduction), SB 71 (conversion therapy ban), SB 211 (Love Makes a Family). Senate Minority Leader. First openly LGBTQ+ member of Ohio legislature. Lifelong champion.</t>
  </si>
  <si>
    <t xml:space="preserve">Thomas F. Patton</t>
  </si>
  <si>
    <t xml:space="preserve">William P. DeMora</t>
  </si>
  <si>
    <t xml:space="preserve">Votes against anti-LGBTQ+ bills. Motioned to adjourn before HB 68 override vote.</t>
  </si>
  <si>
    <t xml:space="preserve">Bill Reineke</t>
  </si>
  <si>
    <t xml:space="preserve">Kristina D. Roegner</t>
  </si>
  <si>
    <t xml:space="preserve">Votes for anti-LGBTQ+ bills. Made anti-trans statements during HB 68 override debate.</t>
  </si>
  <si>
    <t xml:space="preserve">Casey Weinstein</t>
  </si>
  <si>
    <t xml:space="preserve">Jane M. Timken</t>
  </si>
  <si>
    <t xml:space="preserve">Brian M. Chavez</t>
  </si>
  <si>
    <t xml:space="preserve">Al Landis</t>
  </si>
  <si>
    <t xml:space="preserve">Sandra O'Brien</t>
  </si>
  <si>
    <t xml:space="preserve">Al Cutrona</t>
  </si>
  <si>
    <t xml:space="preserve">Vote Type</t>
  </si>
  <si>
    <t xml:space="preserve">Date</t>
  </si>
  <si>
    <t xml:space="preserve">Result</t>
  </si>
  <si>
    <t xml:space="preserve">Yeas</t>
  </si>
  <si>
    <t xml:space="preserve">Nays</t>
  </si>
  <si>
    <t xml:space="preserve">Key Crossover Votes</t>
  </si>
  <si>
    <t xml:space="preserve">Passage</t>
  </si>
  <si>
    <t xml:space="preserve">6/21/2023</t>
  </si>
  <si>
    <t xml:space="preserve">Passed</t>
  </si>
  <si>
    <t xml:space="preserve">R voting No: Jamie Callender, Brett Hillyer</t>
  </si>
  <si>
    <t xml:space="preserve">Gender-affirming care ban + sports ban</t>
  </si>
  <si>
    <t xml:space="preserve">12/13/2023</t>
  </si>
  <si>
    <t xml:space="preserve">Exact roll call not available</t>
  </si>
  <si>
    <t xml:space="preserve">Veto Override</t>
  </si>
  <si>
    <t xml:space="preserve">1/10/2024</t>
  </si>
  <si>
    <t xml:space="preserve">Override Sustained</t>
  </si>
  <si>
    <t xml:space="preserve">No confirmed R crossovers on override vote</t>
  </si>
  <si>
    <t xml:space="preserve">Gov. DeWine vetoed 12/29/2023</t>
  </si>
  <si>
    <t xml:space="preserve">R voting No: Nathan Manning (only R)</t>
  </si>
  <si>
    <t xml:space="preserve">All 7 D senators + Manning voted No</t>
  </si>
  <si>
    <t xml:space="preserve">R voting No: Jamie Callender, Gayle Manning, Andrea White</t>
  </si>
  <si>
    <t xml:space="preserve">Forced outing / Parents' Bill of Rights</t>
  </si>
  <si>
    <t xml:space="preserve">Full roll call available (see Freedom Index). Louis Blessing (R) voted No.</t>
  </si>
  <si>
    <t xml:space="preserve">10 senators Not Voting</t>
  </si>
  <si>
    <t xml:space="preserve">6/26/2024</t>
  </si>
  <si>
    <t xml:space="preserve">Party line</t>
  </si>
  <si>
    <t xml:space="preserve">Bathroom ban</t>
  </si>
  <si>
    <t xml:space="preserve">Strict party line; no crossovers</t>
  </si>
  <si>
    <t xml:space="preserve">Signed into law 11/27/2024</t>
  </si>
  <si>
    <t xml:space="preserve">2/12/2025</t>
  </si>
  <si>
    <t xml:space="preserve">Party line (all R yes, all D no)</t>
  </si>
  <si>
    <t xml:space="preserve">DEI ban first pass</t>
  </si>
  <si>
    <t xml:space="preserve">3/19/2025</t>
  </si>
  <si>
    <t xml:space="preserve">DEI ban</t>
  </si>
  <si>
    <t xml:space="preserve">Concurrence</t>
  </si>
  <si>
    <t xml:space="preserve">Signed 3/28/2026</t>
  </si>
  <si>
    <t xml:space="preserve">R voting No: Jamie Callender (only R)</t>
  </si>
  <si>
    <t xml:space="preserve">Drag ban / indecent exposure</t>
  </si>
  <si>
    <t xml:space="preserve">Legislator</t>
  </si>
  <si>
    <t xml:space="preserve">Type</t>
  </si>
  <si>
    <t xml:space="preserve">Description</t>
  </si>
  <si>
    <t xml:space="preserve">Impact</t>
  </si>
  <si>
    <t xml:space="preserve">Score Impact</t>
  </si>
  <si>
    <t xml:space="preserve">Source</t>
  </si>
  <si>
    <t xml:space="preserve">Sponsorship</t>
  </si>
  <si>
    <t xml:space="preserve">Primary/co-sponsor of 8+ anti-LGBTQ+ bills (HB 249, 155, 190, 262, 693, 796, 798, HB 6)</t>
  </si>
  <si>
    <t xml:space="preserve">Ohio Legislature; Buckeye Flame</t>
  </si>
  <si>
    <t xml:space="preserve">Co-sponsor HB 306 (Hate Crimes Act, bipartisan)</t>
  </si>
  <si>
    <t xml:space="preserve">Ohio Legislature</t>
  </si>
  <si>
    <t xml:space="preserve">Primary sponsor HB 68 (care ban) and HB 693 (affirming families)</t>
  </si>
  <si>
    <t xml:space="preserve">News (Negative)</t>
  </si>
  <si>
    <t xml:space="preserve">Compared trans people to 'Lucifer'; backed conversion therapy on video</t>
  </si>
  <si>
    <t xml:space="preserve">Advocate.com; CityBeat; Erin in the Morning</t>
  </si>
  <si>
    <t xml:space="preserve">Accusations of discussing sex with young girls; misconduct-related allegations</t>
  </si>
  <si>
    <t xml:space="preserve">Scandal</t>
  </si>
  <si>
    <t xml:space="preserve">Ohio Capital Journal; Buckeye Flame; Tiffinohio.net</t>
  </si>
  <si>
    <t xml:space="preserve">Primary sponsor HB 196 (trans candidate name disclosure)</t>
  </si>
  <si>
    <t xml:space="preserve">Accused of sexual misconduct with minor female relative (BCI documents)</t>
  </si>
  <si>
    <t xml:space="preserve">Ohio Capital Journal</t>
  </si>
  <si>
    <t xml:space="preserve">Primary sponsor HB 155 (DEI ban), HB 262 (Natural Family Month)</t>
  </si>
  <si>
    <t xml:space="preserve">Angie King</t>
  </si>
  <si>
    <t xml:space="preserve">Primary sponsor HB 249 (drag ban), co-sponsor HB 196</t>
  </si>
  <si>
    <t xml:space="preserve">Primary sponsor HB 190 (Given Names Act), HB 172 (mental health consent)</t>
  </si>
  <si>
    <t xml:space="preserve">Tied to Center for Christian Virtue (SPLC anti-LGBTQ designation)</t>
  </si>
  <si>
    <t xml:space="preserve">Ballotpedia; Ohio Capital Journal</t>
  </si>
  <si>
    <t xml:space="preserve">Primary sponsor HB 507 (School Chaplain Act)</t>
  </si>
  <si>
    <t xml:space="preserve">Primary sponsor Sub HB 96 (budget with anti-LGBTQ+ provisions)</t>
  </si>
  <si>
    <t xml:space="preserve">News (Positive)</t>
  </si>
  <si>
    <t xml:space="preserve">Only R to vote against HB 68, HB 6, HB 8, HB 249. Said: 'I believe in empowering individuals and limiting government.'</t>
  </si>
  <si>
    <t xml:space="preserve">Statehouse News Bureau; WOSU; Buckeye Flame</t>
  </si>
  <si>
    <t xml:space="preserve">Voted against HB 8 (forced outing) and HB 6 in committee</t>
  </si>
  <si>
    <t xml:space="preserve">Buckeye Flame</t>
  </si>
  <si>
    <t xml:space="preserve">Voted against HB 8 (forced outing)</t>
  </si>
  <si>
    <t xml:space="preserve">Nickie Antonio</t>
  </si>
  <si>
    <t xml:space="preserve">Primary sponsor SB 70 (Fairness Act, 12th intro), SB 71 (conversion therapy ban), SB 211 (Love Makes a Family)</t>
  </si>
  <si>
    <t xml:space="preserve">First openly LGBTQ+ Ohio legislator. Senate Minority Leader. Decades of advocacy.</t>
  </si>
  <si>
    <t xml:space="preserve">Multiple sources</t>
  </si>
  <si>
    <t xml:space="preserve">Jerry Cirino</t>
  </si>
  <si>
    <t xml:space="preserve">Primary sponsor SB 1 (DEI ban), co-sponsor SB 104 (bathroom ban), SB 274 (minor consent)</t>
  </si>
  <si>
    <t xml:space="preserve">Used religious arguments to support HB 68 override; called DEI 'institutional problem'</t>
  </si>
  <si>
    <t xml:space="preserve">Ohio Capital Journal; Statehouse News Bureau</t>
  </si>
  <si>
    <t xml:space="preserve">Andrew Brenner</t>
  </si>
  <si>
    <t xml:space="preserve">Primary sponsor SB 113 (school DEI ban), SB 274 (minor consent), co-sponsor SB 104</t>
  </si>
  <si>
    <t xml:space="preserve">Called DEI 'institutional discrimination'; advanced bathroom ban via SB 104 amendment</t>
  </si>
  <si>
    <t xml:space="preserve">Nathan Manning</t>
  </si>
  <si>
    <t xml:space="preserve">Only R senator to vote against HB 68 veto override</t>
  </si>
  <si>
    <t xml:space="preserve">Buckeye Flame; Ohio Capital Journal</t>
  </si>
  <si>
    <t xml:space="preserve">Kristina Roegner</t>
  </si>
  <si>
    <t xml:space="preserve">Made anti-trans statements during HB 68 override debate</t>
  </si>
  <si>
    <t xml:space="preserve">Co-sponsor SB 71 (conversion therapy ban)</t>
  </si>
  <si>
    <t xml:space="preserve">Primary sponsor HB 136 (Fairness Act). Hosts Pride press conferences.</t>
  </si>
  <si>
    <t xml:space="preserve">Ohio House; Buckeye Flame</t>
  </si>
  <si>
    <t xml:space="preserve">Primary sponsor HB 136 (Fairness Act), co-sponsor HB 300 (conversion therapy ban)</t>
  </si>
  <si>
    <t xml:space="preserve">Primary sponsor HB 300 (conversion therapy ban), HB 327 (PRIDE Act)</t>
  </si>
  <si>
    <t xml:space="preserve">Darnell Brewer</t>
  </si>
  <si>
    <t xml:space="preserve">Co-sponsor HB 327 (PRIDE Act)</t>
  </si>
  <si>
    <t xml:space="preserve">Dontavius Jarrells</t>
  </si>
  <si>
    <t xml:space="preserve">Primary sponsor HB 306 (Hate Crimes Act)</t>
  </si>
  <si>
    <t xml:space="preserve">Primary sponsor SB 53 (anti-protest)</t>
  </si>
  <si>
    <t xml:space="preserve">Primary sponsor SB 34 (Ten Commandments)</t>
  </si>
  <si>
    <t xml:space="preserve">Louis Blessing III</t>
  </si>
  <si>
    <t xml:space="preserve">News (Mixed)</t>
  </si>
  <si>
    <t xml:space="preserve">Voted against HB 8 (forced outing) but supports most anti-LGBTQ+ bills</t>
  </si>
  <si>
    <t xml:space="preserve">Mixed</t>
  </si>
  <si>
    <t xml:space="preserve">Freedom Index roll call data</t>
  </si>
  <si>
    <t xml:space="preserve">Co-sponsor HB 6 (DEI ban companion to SB 1)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</si>
</sst>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7B00"/>
      <name val="Arial"/>
      <family val="0"/>
      <charset val="1"/>
    </font>
    <font>
      <sz val="10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E0E0"/>
        <bgColor rgb="FFF2DCDB"/>
      </patternFill>
    </fill>
    <fill>
      <patternFill patternType="solid">
        <fgColor rgb="FFE0FFE0"/>
        <bgColor rgb="FFCCFFFF"/>
      </patternFill>
    </fill>
    <fill>
      <patternFill patternType="solid">
        <fgColor rgb="FFDCE6F1"/>
        <bgColor rgb="FFF2DCDB"/>
      </patternFill>
    </fill>
    <fill>
      <patternFill patternType="solid">
        <fgColor rgb="FFF2DCDB"/>
        <bgColor rgb="FFFFE0E0"/>
      </patternFill>
    </fill>
    <fill>
      <patternFill patternType="solid">
        <fgColor rgb="FFFFCCCC"/>
        <bgColor rgb="FFF2DCDB"/>
      </patternFill>
    </fill>
    <fill>
      <patternFill patternType="solid">
        <fgColor rgb="FFFFF8D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0FFE0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007B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F8D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B00"/>
      <rgbColor rgb="FF000080"/>
      <rgbColor rgb="FF548235"/>
      <rgbColor rgb="FF800080"/>
      <rgbColor rgb="FF008080"/>
      <rgbColor rgb="FFCCCCCC"/>
      <rgbColor rgb="FF808080"/>
      <rgbColor rgb="FF9999FF"/>
      <rgbColor rgb="FF993366"/>
      <rgbColor rgb="FFFFF8DC"/>
      <rgbColor rgb="FFDCE6F1"/>
      <rgbColor rgb="FF660066"/>
      <rgbColor rgb="FFFF8080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FFE0"/>
      <rgbColor rgb="FFFFE0E0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ED7D31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60"/>
  </cols>
  <sheetData>
    <row r="2" customFormat="false" ht="18" hidden="false" customHeight="tru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3"/>
      <c r="D5" s="3"/>
    </row>
    <row r="6" customFormat="false" ht="45" hidden="false" customHeight="true" outlineLevel="0" collapsed="false">
      <c r="B6" s="4" t="s">
        <v>3</v>
      </c>
      <c r="C6" s="5" t="s">
        <v>4</v>
      </c>
      <c r="D6" s="6" t="s">
        <v>5</v>
      </c>
    </row>
    <row r="7" customFormat="false" ht="45" hidden="false" customHeight="true" outlineLevel="0" collapsed="false">
      <c r="B7" s="4" t="s">
        <v>6</v>
      </c>
      <c r="C7" s="5" t="s">
        <v>7</v>
      </c>
      <c r="D7" s="6" t="s">
        <v>8</v>
      </c>
    </row>
    <row r="8" customFormat="false" ht="45" hidden="false" customHeight="true" outlineLevel="0" collapsed="false">
      <c r="B8" s="4" t="s">
        <v>9</v>
      </c>
      <c r="C8" s="5" t="s">
        <v>10</v>
      </c>
      <c r="D8" s="6" t="s">
        <v>11</v>
      </c>
    </row>
    <row r="10" customFormat="false" ht="15" hidden="false" customHeight="false" outlineLevel="0" collapsed="false">
      <c r="B10" s="3" t="s">
        <v>12</v>
      </c>
      <c r="C10" s="3"/>
      <c r="D10" s="3"/>
    </row>
    <row r="11" customFormat="false" ht="22.35" hidden="false" customHeight="false" outlineLevel="0" collapsed="false">
      <c r="B11" s="5" t="s">
        <v>13</v>
      </c>
      <c r="C11" s="7" t="s">
        <v>14</v>
      </c>
      <c r="D11" s="6" t="s">
        <v>15</v>
      </c>
    </row>
    <row r="12" customFormat="false" ht="15" hidden="false" customHeight="false" outlineLevel="0" collapsed="false">
      <c r="B12" s="5" t="s">
        <v>16</v>
      </c>
      <c r="C12" s="7" t="s">
        <v>17</v>
      </c>
      <c r="D12" s="6" t="s">
        <v>18</v>
      </c>
    </row>
    <row r="13" customFormat="false" ht="22.35" hidden="false" customHeight="false" outlineLevel="0" collapsed="false">
      <c r="B13" s="5" t="s">
        <v>19</v>
      </c>
      <c r="C13" s="7" t="s">
        <v>20</v>
      </c>
      <c r="D13" s="6" t="s">
        <v>21</v>
      </c>
    </row>
    <row r="14" customFormat="false" ht="15" hidden="false" customHeight="false" outlineLevel="0" collapsed="false">
      <c r="B14" s="5" t="s">
        <v>22</v>
      </c>
      <c r="C14" s="7" t="s">
        <v>23</v>
      </c>
      <c r="D14" s="6" t="s">
        <v>24</v>
      </c>
    </row>
    <row r="15" customFormat="false" ht="22.35" hidden="false" customHeight="false" outlineLevel="0" collapsed="false">
      <c r="B15" s="5" t="s">
        <v>25</v>
      </c>
      <c r="C15" s="7" t="s">
        <v>26</v>
      </c>
      <c r="D15" s="6" t="s">
        <v>27</v>
      </c>
    </row>
    <row r="16" customFormat="false" ht="22.35" hidden="false" customHeight="false" outlineLevel="0" collapsed="false">
      <c r="B16" s="5" t="s">
        <v>28</v>
      </c>
      <c r="C16" s="7" t="s">
        <v>29</v>
      </c>
      <c r="D16" s="6" t="s">
        <v>30</v>
      </c>
    </row>
    <row r="18" customFormat="false" ht="15" hidden="false" customHeight="false" outlineLevel="0" collapsed="false">
      <c r="B18" s="3" t="s">
        <v>31</v>
      </c>
      <c r="C18" s="3"/>
      <c r="D18" s="3"/>
    </row>
    <row r="19" customFormat="false" ht="15" hidden="false" customHeight="true" outlineLevel="0" collapsed="false">
      <c r="B19" s="8" t="s">
        <v>32</v>
      </c>
      <c r="C19" s="9" t="s">
        <v>33</v>
      </c>
      <c r="D19" s="9"/>
    </row>
    <row r="20" customFormat="false" ht="15" hidden="false" customHeight="true" outlineLevel="0" collapsed="false">
      <c r="B20" s="8" t="s">
        <v>34</v>
      </c>
      <c r="C20" s="9" t="s">
        <v>35</v>
      </c>
      <c r="D20" s="9"/>
    </row>
    <row r="21" customFormat="false" ht="15" hidden="false" customHeight="true" outlineLevel="0" collapsed="false">
      <c r="B21" s="8" t="s">
        <v>36</v>
      </c>
      <c r="C21" s="9" t="s">
        <v>37</v>
      </c>
      <c r="D21" s="9"/>
    </row>
    <row r="22" customFormat="false" ht="15" hidden="false" customHeight="true" outlineLevel="0" collapsed="false">
      <c r="B22" s="8" t="s">
        <v>38</v>
      </c>
      <c r="C22" s="9" t="s">
        <v>39</v>
      </c>
      <c r="D22" s="9"/>
    </row>
    <row r="23" customFormat="false" ht="15" hidden="false" customHeight="true" outlineLevel="0" collapsed="false">
      <c r="B23" s="8" t="s">
        <v>40</v>
      </c>
      <c r="C23" s="9" t="s">
        <v>41</v>
      </c>
      <c r="D23" s="9"/>
    </row>
    <row r="24" customFormat="false" ht="15" hidden="false" customHeight="true" outlineLevel="0" collapsed="false">
      <c r="B24" s="8" t="s">
        <v>42</v>
      </c>
      <c r="C24" s="9" t="s">
        <v>43</v>
      </c>
      <c r="D24" s="9"/>
    </row>
    <row r="25" customFormat="false" ht="15" hidden="false" customHeight="true" outlineLevel="0" collapsed="false">
      <c r="B25" s="8" t="s">
        <v>44</v>
      </c>
      <c r="C25" s="9" t="s">
        <v>45</v>
      </c>
      <c r="D25" s="9"/>
    </row>
    <row r="26" customFormat="false" ht="15" hidden="false" customHeight="true" outlineLevel="0" collapsed="false">
      <c r="B26" s="8" t="s">
        <v>46</v>
      </c>
      <c r="C26" s="9" t="s">
        <v>47</v>
      </c>
      <c r="D26" s="9"/>
    </row>
  </sheetData>
  <mergeCells count="13">
    <mergeCell ref="B2:D2"/>
    <mergeCell ref="B3:D3"/>
    <mergeCell ref="B5:D5"/>
    <mergeCell ref="B10:D10"/>
    <mergeCell ref="B18:D18"/>
    <mergeCell ref="C19:D19"/>
    <mergeCell ref="C20:D20"/>
    <mergeCell ref="C21:D21"/>
    <mergeCell ref="C22:D22"/>
    <mergeCell ref="C23:D23"/>
    <mergeCell ref="C24:D24"/>
    <mergeCell ref="C25:D25"/>
    <mergeCell ref="C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30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</row>
    <row r="2" customFormat="false" ht="27.75" hidden="false" customHeight="true" outlineLevel="0" collapsed="false">
      <c r="A2" s="11" t="s">
        <v>59</v>
      </c>
      <c r="B2" s="11" t="s">
        <v>60</v>
      </c>
      <c r="C2" s="8" t="s">
        <v>61</v>
      </c>
      <c r="D2" s="8" t="s">
        <v>62</v>
      </c>
      <c r="E2" s="8" t="s">
        <v>63</v>
      </c>
      <c r="F2" s="8" t="s">
        <v>64</v>
      </c>
      <c r="G2" s="8" t="s">
        <v>65</v>
      </c>
      <c r="H2" s="8" t="s">
        <v>66</v>
      </c>
      <c r="I2" s="8" t="s">
        <v>67</v>
      </c>
      <c r="J2" s="8" t="s">
        <v>68</v>
      </c>
      <c r="K2" s="8" t="s">
        <v>69</v>
      </c>
    </row>
    <row r="3" customFormat="false" ht="27.75" hidden="false" customHeight="true" outlineLevel="0" collapsed="false">
      <c r="A3" s="11" t="s">
        <v>70</v>
      </c>
      <c r="B3" s="11" t="s">
        <v>71</v>
      </c>
      <c r="C3" s="8" t="s">
        <v>61</v>
      </c>
      <c r="D3" s="8" t="s">
        <v>62</v>
      </c>
      <c r="E3" s="8" t="s">
        <v>63</v>
      </c>
      <c r="F3" s="8" t="s">
        <v>64</v>
      </c>
      <c r="G3" s="8" t="s">
        <v>72</v>
      </c>
      <c r="H3" s="8" t="s">
        <v>73</v>
      </c>
      <c r="I3" s="8"/>
      <c r="J3" s="8" t="s">
        <v>74</v>
      </c>
      <c r="K3" s="8" t="s">
        <v>75</v>
      </c>
    </row>
    <row r="4" customFormat="false" ht="15" hidden="false" customHeight="false" outlineLevel="0" collapsed="false">
      <c r="A4" s="11" t="s">
        <v>76</v>
      </c>
      <c r="B4" s="11" t="s">
        <v>77</v>
      </c>
      <c r="C4" s="8" t="s">
        <v>61</v>
      </c>
      <c r="D4" s="8" t="s">
        <v>62</v>
      </c>
      <c r="E4" s="8" t="s">
        <v>78</v>
      </c>
      <c r="F4" s="8" t="s">
        <v>64</v>
      </c>
      <c r="G4" s="8" t="s">
        <v>79</v>
      </c>
      <c r="H4" s="8" t="s">
        <v>80</v>
      </c>
      <c r="I4" s="8"/>
      <c r="J4" s="8"/>
      <c r="K4" s="8"/>
    </row>
    <row r="5" customFormat="false" ht="15" hidden="false" customHeight="false" outlineLevel="0" collapsed="false">
      <c r="A5" s="11" t="s">
        <v>81</v>
      </c>
      <c r="B5" s="11" t="s">
        <v>82</v>
      </c>
      <c r="C5" s="8" t="s">
        <v>61</v>
      </c>
      <c r="D5" s="8" t="s">
        <v>62</v>
      </c>
      <c r="E5" s="8" t="s">
        <v>63</v>
      </c>
      <c r="F5" s="8" t="s">
        <v>64</v>
      </c>
      <c r="G5" s="8" t="s">
        <v>79</v>
      </c>
      <c r="H5" s="8" t="s">
        <v>83</v>
      </c>
      <c r="I5" s="8"/>
      <c r="J5" s="8"/>
      <c r="K5" s="8"/>
    </row>
    <row r="6" customFormat="false" ht="27.75" hidden="false" customHeight="true" outlineLevel="0" collapsed="false">
      <c r="A6" s="11" t="s">
        <v>84</v>
      </c>
      <c r="B6" s="11" t="s">
        <v>85</v>
      </c>
      <c r="C6" s="8" t="s">
        <v>61</v>
      </c>
      <c r="D6" s="8" t="s">
        <v>62</v>
      </c>
      <c r="E6" s="8" t="s">
        <v>86</v>
      </c>
      <c r="F6" s="8" t="s">
        <v>64</v>
      </c>
      <c r="G6" s="8" t="s">
        <v>87</v>
      </c>
      <c r="H6" s="8" t="s">
        <v>88</v>
      </c>
      <c r="I6" s="8"/>
      <c r="J6" s="8"/>
      <c r="K6" s="8"/>
    </row>
    <row r="7" customFormat="false" ht="27.75" hidden="false" customHeight="true" outlineLevel="0" collapsed="false">
      <c r="A7" s="11" t="s">
        <v>89</v>
      </c>
      <c r="B7" s="11" t="s">
        <v>90</v>
      </c>
      <c r="C7" s="8" t="s">
        <v>61</v>
      </c>
      <c r="D7" s="8" t="s">
        <v>91</v>
      </c>
      <c r="E7" s="8" t="s">
        <v>92</v>
      </c>
      <c r="F7" s="8" t="s">
        <v>64</v>
      </c>
      <c r="G7" s="8" t="s">
        <v>93</v>
      </c>
      <c r="H7" s="8" t="s">
        <v>94</v>
      </c>
      <c r="I7" s="8"/>
      <c r="J7" s="8"/>
      <c r="K7" s="8" t="s">
        <v>95</v>
      </c>
    </row>
    <row r="8" customFormat="false" ht="15" hidden="false" customHeight="false" outlineLevel="0" collapsed="false">
      <c r="A8" s="11" t="s">
        <v>96</v>
      </c>
      <c r="B8" s="11" t="s">
        <v>82</v>
      </c>
      <c r="C8" s="8" t="s">
        <v>61</v>
      </c>
      <c r="D8" s="8" t="s">
        <v>91</v>
      </c>
      <c r="E8" s="8" t="s">
        <v>63</v>
      </c>
      <c r="F8" s="8" t="s">
        <v>64</v>
      </c>
      <c r="G8" s="8" t="s">
        <v>79</v>
      </c>
      <c r="H8" s="8" t="s">
        <v>97</v>
      </c>
      <c r="I8" s="8"/>
      <c r="J8" s="8"/>
      <c r="K8" s="8"/>
    </row>
    <row r="9" customFormat="false" ht="15" hidden="false" customHeight="false" outlineLevel="0" collapsed="false">
      <c r="A9" s="11" t="s">
        <v>98</v>
      </c>
      <c r="B9" s="11" t="s">
        <v>85</v>
      </c>
      <c r="C9" s="8" t="s">
        <v>61</v>
      </c>
      <c r="D9" s="8" t="s">
        <v>91</v>
      </c>
      <c r="E9" s="8" t="s">
        <v>86</v>
      </c>
      <c r="F9" s="8" t="s">
        <v>64</v>
      </c>
      <c r="G9" s="8" t="s">
        <v>79</v>
      </c>
      <c r="H9" s="8" t="s">
        <v>99</v>
      </c>
      <c r="I9" s="8"/>
      <c r="J9" s="8"/>
      <c r="K9" s="8"/>
    </row>
    <row r="10" customFormat="false" ht="27.75" hidden="false" customHeight="true" outlineLevel="0" collapsed="false">
      <c r="A10" s="11" t="s">
        <v>100</v>
      </c>
      <c r="B10" s="11" t="s">
        <v>101</v>
      </c>
      <c r="C10" s="8" t="s">
        <v>61</v>
      </c>
      <c r="D10" s="8" t="s">
        <v>91</v>
      </c>
      <c r="E10" s="8" t="s">
        <v>102</v>
      </c>
      <c r="F10" s="8" t="s">
        <v>64</v>
      </c>
      <c r="G10" s="8" t="s">
        <v>79</v>
      </c>
      <c r="H10" s="8" t="s">
        <v>103</v>
      </c>
      <c r="I10" s="8"/>
      <c r="J10" s="8"/>
      <c r="K10" s="8"/>
    </row>
    <row r="11" customFormat="false" ht="27.75" hidden="false" customHeight="true" outlineLevel="0" collapsed="false">
      <c r="A11" s="11" t="s">
        <v>104</v>
      </c>
      <c r="B11" s="11" t="s">
        <v>105</v>
      </c>
      <c r="C11" s="8" t="s">
        <v>61</v>
      </c>
      <c r="D11" s="8" t="s">
        <v>91</v>
      </c>
      <c r="E11" s="8" t="s">
        <v>106</v>
      </c>
      <c r="F11" s="8" t="s">
        <v>64</v>
      </c>
      <c r="G11" s="8" t="s">
        <v>79</v>
      </c>
      <c r="H11" s="8" t="s">
        <v>107</v>
      </c>
      <c r="I11" s="8"/>
      <c r="J11" s="8"/>
      <c r="K11" s="8"/>
    </row>
    <row r="12" customFormat="false" ht="15" hidden="false" customHeight="false" outlineLevel="0" collapsed="false">
      <c r="A12" s="11" t="s">
        <v>108</v>
      </c>
      <c r="B12" s="11" t="s">
        <v>109</v>
      </c>
      <c r="C12" s="8" t="s">
        <v>61</v>
      </c>
      <c r="D12" s="8" t="s">
        <v>91</v>
      </c>
      <c r="E12" s="8" t="s">
        <v>110</v>
      </c>
      <c r="F12" s="8" t="s">
        <v>64</v>
      </c>
      <c r="G12" s="8" t="s">
        <v>111</v>
      </c>
      <c r="H12" s="8" t="s">
        <v>112</v>
      </c>
      <c r="I12" s="8"/>
      <c r="J12" s="8" t="s">
        <v>113</v>
      </c>
      <c r="K12" s="8" t="s">
        <v>114</v>
      </c>
    </row>
    <row r="13" customFormat="false" ht="15" hidden="false" customHeight="false" outlineLevel="0" collapsed="false">
      <c r="A13" s="11" t="s">
        <v>115</v>
      </c>
      <c r="B13" s="11" t="s">
        <v>116</v>
      </c>
      <c r="C13" s="8" t="s">
        <v>61</v>
      </c>
      <c r="D13" s="8" t="s">
        <v>91</v>
      </c>
      <c r="E13" s="8" t="s">
        <v>78</v>
      </c>
      <c r="F13" s="8" t="s">
        <v>64</v>
      </c>
      <c r="G13" s="8" t="s">
        <v>79</v>
      </c>
      <c r="H13" s="8" t="s">
        <v>97</v>
      </c>
      <c r="I13" s="8"/>
      <c r="J13" s="8"/>
      <c r="K13" s="8"/>
    </row>
    <row r="14" customFormat="false" ht="27.75" hidden="false" customHeight="true" outlineLevel="0" collapsed="false">
      <c r="A14" s="11" t="s">
        <v>117</v>
      </c>
      <c r="B14" s="11" t="s">
        <v>118</v>
      </c>
      <c r="C14" s="8" t="s">
        <v>61</v>
      </c>
      <c r="D14" s="8" t="s">
        <v>91</v>
      </c>
      <c r="E14" s="8" t="s">
        <v>63</v>
      </c>
      <c r="F14" s="8" t="s">
        <v>64</v>
      </c>
      <c r="G14" s="8" t="s">
        <v>79</v>
      </c>
      <c r="H14" s="8" t="s">
        <v>119</v>
      </c>
      <c r="I14" s="8"/>
      <c r="J14" s="8"/>
      <c r="K14" s="8"/>
    </row>
    <row r="15" customFormat="false" ht="15" hidden="false" customHeight="false" outlineLevel="0" collapsed="false">
      <c r="A15" s="11" t="s">
        <v>120</v>
      </c>
      <c r="B15" s="11" t="s">
        <v>121</v>
      </c>
      <c r="C15" s="8" t="s">
        <v>61</v>
      </c>
      <c r="D15" s="8" t="s">
        <v>91</v>
      </c>
      <c r="E15" s="8" t="s">
        <v>122</v>
      </c>
      <c r="F15" s="8" t="s">
        <v>64</v>
      </c>
      <c r="G15" s="8" t="s">
        <v>79</v>
      </c>
      <c r="H15" s="8" t="s">
        <v>123</v>
      </c>
      <c r="I15" s="8"/>
      <c r="J15" s="8"/>
      <c r="K15" s="8"/>
    </row>
    <row r="16" customFormat="false" ht="15" hidden="false" customHeight="false" outlineLevel="0" collapsed="false">
      <c r="A16" s="11" t="s">
        <v>124</v>
      </c>
      <c r="B16" s="11" t="s">
        <v>125</v>
      </c>
      <c r="C16" s="8" t="s">
        <v>61</v>
      </c>
      <c r="D16" s="8" t="s">
        <v>91</v>
      </c>
      <c r="E16" s="8" t="s">
        <v>126</v>
      </c>
      <c r="F16" s="8" t="s">
        <v>64</v>
      </c>
      <c r="G16" s="8" t="s">
        <v>87</v>
      </c>
      <c r="H16" s="8" t="s">
        <v>127</v>
      </c>
      <c r="I16" s="8"/>
      <c r="J16" s="8"/>
      <c r="K16" s="8"/>
    </row>
    <row r="17" customFormat="false" ht="27.75" hidden="false" customHeight="true" outlineLevel="0" collapsed="false">
      <c r="A17" s="11" t="s">
        <v>128</v>
      </c>
      <c r="B17" s="11" t="s">
        <v>129</v>
      </c>
      <c r="C17" s="8" t="s">
        <v>61</v>
      </c>
      <c r="D17" s="8" t="s">
        <v>91</v>
      </c>
      <c r="E17" s="8" t="s">
        <v>102</v>
      </c>
      <c r="F17" s="8" t="s">
        <v>64</v>
      </c>
      <c r="G17" s="8" t="s">
        <v>87</v>
      </c>
      <c r="H17" s="8" t="s">
        <v>127</v>
      </c>
      <c r="I17" s="8"/>
      <c r="J17" s="8"/>
      <c r="K17" s="8"/>
    </row>
    <row r="18" customFormat="false" ht="27.75" hidden="false" customHeight="true" outlineLevel="0" collapsed="false">
      <c r="A18" s="12" t="s">
        <v>130</v>
      </c>
      <c r="B18" s="12" t="s">
        <v>131</v>
      </c>
      <c r="C18" s="8" t="s">
        <v>61</v>
      </c>
      <c r="D18" s="8" t="s">
        <v>62</v>
      </c>
      <c r="E18" s="8" t="s">
        <v>78</v>
      </c>
      <c r="F18" s="8" t="s">
        <v>132</v>
      </c>
      <c r="G18" s="8" t="s">
        <v>133</v>
      </c>
      <c r="H18" s="8" t="s">
        <v>134</v>
      </c>
      <c r="I18" s="8"/>
      <c r="J18" s="8"/>
      <c r="K18" s="8"/>
    </row>
    <row r="19" customFormat="false" ht="27.75" hidden="false" customHeight="true" outlineLevel="0" collapsed="false">
      <c r="A19" s="12" t="s">
        <v>135</v>
      </c>
      <c r="B19" s="12" t="s">
        <v>136</v>
      </c>
      <c r="C19" s="8" t="s">
        <v>61</v>
      </c>
      <c r="D19" s="8" t="s">
        <v>62</v>
      </c>
      <c r="E19" s="8" t="s">
        <v>122</v>
      </c>
      <c r="F19" s="8" t="s">
        <v>132</v>
      </c>
      <c r="G19" s="8" t="s">
        <v>79</v>
      </c>
      <c r="H19" s="8" t="s">
        <v>137</v>
      </c>
      <c r="I19" s="8"/>
      <c r="J19" s="8"/>
      <c r="K19" s="8"/>
    </row>
    <row r="20" customFormat="false" ht="15" hidden="false" customHeight="false" outlineLevel="0" collapsed="false">
      <c r="A20" s="12" t="s">
        <v>138</v>
      </c>
      <c r="B20" s="12" t="s">
        <v>139</v>
      </c>
      <c r="C20" s="8" t="s">
        <v>61</v>
      </c>
      <c r="D20" s="8" t="s">
        <v>62</v>
      </c>
      <c r="E20" s="8" t="s">
        <v>78</v>
      </c>
      <c r="F20" s="8" t="s">
        <v>132</v>
      </c>
      <c r="G20" s="8" t="s">
        <v>79</v>
      </c>
      <c r="H20" s="8" t="s">
        <v>134</v>
      </c>
      <c r="I20" s="8"/>
      <c r="J20" s="8"/>
      <c r="K20" s="8"/>
    </row>
    <row r="21" customFormat="false" ht="23.85" hidden="false" customHeight="false" outlineLevel="0" collapsed="false">
      <c r="A21" s="12" t="s">
        <v>140</v>
      </c>
      <c r="B21" s="12" t="s">
        <v>141</v>
      </c>
      <c r="C21" s="8" t="s">
        <v>61</v>
      </c>
      <c r="D21" s="8" t="s">
        <v>91</v>
      </c>
      <c r="E21" s="8" t="s">
        <v>78</v>
      </c>
      <c r="F21" s="8" t="s">
        <v>132</v>
      </c>
      <c r="G21" s="8" t="s">
        <v>79</v>
      </c>
      <c r="H21" s="8" t="s">
        <v>142</v>
      </c>
      <c r="I21" s="8"/>
      <c r="J21" s="8"/>
      <c r="K21" s="8"/>
    </row>
    <row r="22" customFormat="false" ht="27.75" hidden="false" customHeight="true" outlineLevel="0" collapsed="false">
      <c r="A22" s="12" t="s">
        <v>143</v>
      </c>
      <c r="B22" s="12" t="s">
        <v>136</v>
      </c>
      <c r="C22" s="8" t="s">
        <v>61</v>
      </c>
      <c r="D22" s="8" t="s">
        <v>91</v>
      </c>
      <c r="E22" s="8" t="s">
        <v>122</v>
      </c>
      <c r="F22" s="8" t="s">
        <v>132</v>
      </c>
      <c r="G22" s="8" t="s">
        <v>79</v>
      </c>
      <c r="H22" s="8" t="s">
        <v>144</v>
      </c>
      <c r="I22" s="8"/>
      <c r="J22" s="8"/>
      <c r="K22" s="8"/>
    </row>
    <row r="23" customFormat="false" ht="27.75" hidden="false" customHeight="true" outlineLevel="0" collapsed="false">
      <c r="A23" s="12" t="s">
        <v>145</v>
      </c>
      <c r="B23" s="12" t="s">
        <v>146</v>
      </c>
      <c r="C23" s="8" t="s">
        <v>61</v>
      </c>
      <c r="D23" s="8" t="s">
        <v>91</v>
      </c>
      <c r="E23" s="8" t="s">
        <v>78</v>
      </c>
      <c r="F23" s="8" t="s">
        <v>132</v>
      </c>
      <c r="G23" s="8" t="s">
        <v>79</v>
      </c>
      <c r="H23" s="8" t="s">
        <v>147</v>
      </c>
      <c r="I23" s="8"/>
      <c r="J23" s="8"/>
      <c r="K23" s="8"/>
    </row>
    <row r="24" customFormat="false" ht="27.75" hidden="false" customHeight="true" outlineLevel="0" collapsed="false">
      <c r="A24" s="12" t="s">
        <v>148</v>
      </c>
      <c r="B24" s="12" t="s">
        <v>149</v>
      </c>
      <c r="C24" s="8" t="s">
        <v>61</v>
      </c>
      <c r="D24" s="8" t="s">
        <v>91</v>
      </c>
      <c r="E24" s="8" t="s">
        <v>86</v>
      </c>
      <c r="F24" s="8" t="s">
        <v>132</v>
      </c>
      <c r="G24" s="8" t="s">
        <v>79</v>
      </c>
      <c r="H24" s="8" t="s">
        <v>150</v>
      </c>
      <c r="I24" s="8"/>
      <c r="J24" s="8"/>
      <c r="K24" s="8"/>
    </row>
    <row r="25" customFormat="false" ht="69.75" hidden="false" customHeight="true" outlineLevel="0" collapsed="false">
      <c r="A25" s="11" t="s">
        <v>151</v>
      </c>
      <c r="B25" s="11" t="s">
        <v>152</v>
      </c>
      <c r="C25" s="8" t="s">
        <v>153</v>
      </c>
      <c r="D25" s="8" t="s">
        <v>91</v>
      </c>
      <c r="E25" s="8" t="s">
        <v>154</v>
      </c>
      <c r="F25" s="8" t="s">
        <v>64</v>
      </c>
      <c r="G25" s="8" t="s">
        <v>155</v>
      </c>
      <c r="H25" s="8" t="s">
        <v>156</v>
      </c>
      <c r="I25" s="8" t="s">
        <v>157</v>
      </c>
      <c r="J25" s="8" t="s">
        <v>158</v>
      </c>
      <c r="K25" s="8" t="s">
        <v>159</v>
      </c>
    </row>
    <row r="26" customFormat="false" ht="27.75" hidden="false" customHeight="true" outlineLevel="0" collapsed="false">
      <c r="A26" s="11" t="s">
        <v>160</v>
      </c>
      <c r="B26" s="11" t="s">
        <v>161</v>
      </c>
      <c r="C26" s="8" t="s">
        <v>153</v>
      </c>
      <c r="D26" s="8" t="s">
        <v>91</v>
      </c>
      <c r="E26" s="8" t="s">
        <v>86</v>
      </c>
      <c r="F26" s="8" t="s">
        <v>64</v>
      </c>
      <c r="G26" s="8" t="s">
        <v>162</v>
      </c>
      <c r="H26" s="8" t="s">
        <v>163</v>
      </c>
      <c r="I26" s="8"/>
      <c r="J26" s="8" t="s">
        <v>164</v>
      </c>
      <c r="K26" s="8" t="s">
        <v>165</v>
      </c>
    </row>
    <row r="27" customFormat="false" ht="27.75" hidden="false" customHeight="true" outlineLevel="0" collapsed="false">
      <c r="A27" s="11" t="s">
        <v>166</v>
      </c>
      <c r="B27" s="11" t="s">
        <v>167</v>
      </c>
      <c r="C27" s="8" t="s">
        <v>153</v>
      </c>
      <c r="D27" s="8" t="s">
        <v>62</v>
      </c>
      <c r="E27" s="8" t="s">
        <v>102</v>
      </c>
      <c r="F27" s="8" t="s">
        <v>64</v>
      </c>
      <c r="G27" s="8" t="s">
        <v>168</v>
      </c>
      <c r="H27" s="8" t="s">
        <v>169</v>
      </c>
      <c r="I27" s="8"/>
      <c r="J27" s="8" t="s">
        <v>170</v>
      </c>
      <c r="K27" s="8" t="s">
        <v>171</v>
      </c>
    </row>
  </sheetData>
  <autoFilter ref="A1:K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.66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30" hidden="false" customHeight="true" outlineLevel="0" collapsed="false">
      <c r="A1" s="10" t="s">
        <v>172</v>
      </c>
      <c r="B1" s="10" t="s">
        <v>173</v>
      </c>
      <c r="C1" s="10" t="s">
        <v>174</v>
      </c>
      <c r="D1" s="10" t="s">
        <v>175</v>
      </c>
      <c r="E1" s="10" t="s">
        <v>176</v>
      </c>
      <c r="F1" s="10" t="s">
        <v>177</v>
      </c>
      <c r="G1" s="10" t="s">
        <v>178</v>
      </c>
      <c r="H1" s="10" t="s">
        <v>179</v>
      </c>
      <c r="I1" s="10" t="s">
        <v>180</v>
      </c>
      <c r="J1" s="10" t="s">
        <v>181</v>
      </c>
    </row>
    <row r="2" customFormat="false" ht="25.5" hidden="false" customHeight="true" outlineLevel="0" collapsed="false">
      <c r="A2" s="7" t="n">
        <v>1</v>
      </c>
      <c r="B2" s="4" t="s">
        <v>182</v>
      </c>
      <c r="C2" s="13" t="s">
        <v>25</v>
      </c>
      <c r="D2" s="14" t="n">
        <v>3</v>
      </c>
      <c r="E2" s="14" t="n">
        <v>5</v>
      </c>
      <c r="F2" s="14" t="n">
        <v>2</v>
      </c>
      <c r="G2" s="5" t="n">
        <f aca="false">D2+E2+F2</f>
        <v>10</v>
      </c>
      <c r="H2" s="5" t="n">
        <f aca="false">MAX(0,MIN(100,ROUND(50+(G2*5),0)))</f>
        <v>100</v>
      </c>
      <c r="I2" s="5" t="str">
        <f aca="false">IF(H2&gt;=90,"A+",IF(H2&gt;=73,"A",IF(H2&gt;=55,"B",IF(H2&gt;=40,"C",IF(H2&gt;=20,"D","F")))))</f>
        <v>A+</v>
      </c>
      <c r="J2" s="6" t="s">
        <v>183</v>
      </c>
    </row>
    <row r="3" customFormat="false" ht="15" hidden="false" customHeight="false" outlineLevel="0" collapsed="false">
      <c r="A3" s="7" t="n">
        <v>2</v>
      </c>
      <c r="B3" s="4" t="s">
        <v>184</v>
      </c>
      <c r="C3" s="13" t="s">
        <v>25</v>
      </c>
      <c r="D3" s="7" t="n">
        <v>0</v>
      </c>
      <c r="E3" s="14" t="n">
        <v>5</v>
      </c>
      <c r="F3" s="7" t="n">
        <v>0</v>
      </c>
      <c r="G3" s="5" t="n">
        <f aca="false">D3+E3+F3</f>
        <v>5</v>
      </c>
      <c r="H3" s="5" t="n">
        <f aca="false">MAX(0,MIN(100,ROUND(50+(G3*5),0)))</f>
        <v>75</v>
      </c>
      <c r="I3" s="5" t="str">
        <f aca="false">IF(H3&gt;=90,"A+",IF(H3&gt;=73,"A",IF(H3&gt;=55,"B",IF(H3&gt;=40,"C",IF(H3&gt;=20,"D","F")))))</f>
        <v>A</v>
      </c>
      <c r="J3" s="6" t="s">
        <v>185</v>
      </c>
    </row>
    <row r="4" customFormat="false" ht="15" hidden="false" customHeight="false" outlineLevel="0" collapsed="false">
      <c r="A4" s="7" t="n">
        <v>3</v>
      </c>
      <c r="B4" s="4" t="s">
        <v>186</v>
      </c>
      <c r="C4" s="13" t="s">
        <v>25</v>
      </c>
      <c r="D4" s="7" t="n">
        <v>0</v>
      </c>
      <c r="E4" s="14" t="n">
        <v>5</v>
      </c>
      <c r="F4" s="7" t="n">
        <v>0</v>
      </c>
      <c r="G4" s="5" t="n">
        <f aca="false">D4+E4+F4</f>
        <v>5</v>
      </c>
      <c r="H4" s="5" t="n">
        <f aca="false">MAX(0,MIN(100,ROUND(50+(G4*5),0)))</f>
        <v>75</v>
      </c>
      <c r="I4" s="5" t="str">
        <f aca="false">IF(H4&gt;=90,"A+",IF(H4&gt;=73,"A",IF(H4&gt;=55,"B",IF(H4&gt;=40,"C",IF(H4&gt;=20,"D","F")))))</f>
        <v>A</v>
      </c>
      <c r="J4" s="6" t="s">
        <v>185</v>
      </c>
    </row>
    <row r="5" customFormat="false" ht="15" hidden="false" customHeight="false" outlineLevel="0" collapsed="false">
      <c r="A5" s="7" t="n">
        <v>4</v>
      </c>
      <c r="B5" s="4" t="s">
        <v>187</v>
      </c>
      <c r="C5" s="13" t="s">
        <v>25</v>
      </c>
      <c r="D5" s="7" t="n">
        <v>0</v>
      </c>
      <c r="E5" s="14" t="n">
        <v>5</v>
      </c>
      <c r="F5" s="7" t="n">
        <v>0</v>
      </c>
      <c r="G5" s="5" t="n">
        <f aca="false">D5+E5+F5</f>
        <v>5</v>
      </c>
      <c r="H5" s="5" t="n">
        <f aca="false">MAX(0,MIN(100,ROUND(50+(G5*5),0)))</f>
        <v>75</v>
      </c>
      <c r="I5" s="5" t="str">
        <f aca="false">IF(H5&gt;=90,"A+",IF(H5&gt;=73,"A",IF(H5&gt;=55,"B",IF(H5&gt;=40,"C",IF(H5&gt;=20,"D","F")))))</f>
        <v>A</v>
      </c>
      <c r="J5" s="6" t="s">
        <v>185</v>
      </c>
    </row>
    <row r="6" customFormat="false" ht="15" hidden="false" customHeight="false" outlineLevel="0" collapsed="false">
      <c r="A6" s="7" t="n">
        <v>5</v>
      </c>
      <c r="B6" s="4" t="s">
        <v>188</v>
      </c>
      <c r="C6" s="13" t="s">
        <v>25</v>
      </c>
      <c r="D6" s="7" t="n">
        <v>0</v>
      </c>
      <c r="E6" s="14" t="n">
        <v>5</v>
      </c>
      <c r="F6" s="7" t="n">
        <v>0</v>
      </c>
      <c r="G6" s="5" t="n">
        <f aca="false">D6+E6+F6</f>
        <v>5</v>
      </c>
      <c r="H6" s="5" t="n">
        <f aca="false">MAX(0,MIN(100,ROUND(50+(G6*5),0)))</f>
        <v>75</v>
      </c>
      <c r="I6" s="5" t="str">
        <f aca="false">IF(H6&gt;=90,"A+",IF(H6&gt;=73,"A",IF(H6&gt;=55,"B",IF(H6&gt;=40,"C",IF(H6&gt;=20,"D","F")))))</f>
        <v>A</v>
      </c>
      <c r="J6" s="6" t="s">
        <v>185</v>
      </c>
    </row>
    <row r="7" customFormat="false" ht="15" hidden="false" customHeight="false" outlineLevel="0" collapsed="false">
      <c r="A7" s="7" t="n">
        <v>6</v>
      </c>
      <c r="B7" s="4" t="s">
        <v>189</v>
      </c>
      <c r="C7" s="13" t="s">
        <v>25</v>
      </c>
      <c r="D7" s="7" t="n">
        <v>0</v>
      </c>
      <c r="E7" s="14" t="n">
        <v>5</v>
      </c>
      <c r="F7" s="7" t="n">
        <v>0</v>
      </c>
      <c r="G7" s="5" t="n">
        <f aca="false">D7+E7+F7</f>
        <v>5</v>
      </c>
      <c r="H7" s="5" t="n">
        <f aca="false">MAX(0,MIN(100,ROUND(50+(G7*5),0)))</f>
        <v>75</v>
      </c>
      <c r="I7" s="5" t="str">
        <f aca="false">IF(H7&gt;=90,"A+",IF(H7&gt;=73,"A",IF(H7&gt;=55,"B",IF(H7&gt;=40,"C",IF(H7&gt;=20,"D","F")))))</f>
        <v>A</v>
      </c>
      <c r="J7" s="6" t="s">
        <v>185</v>
      </c>
    </row>
    <row r="8" customFormat="false" ht="15" hidden="false" customHeight="false" outlineLevel="0" collapsed="false">
      <c r="A8" s="7" t="n">
        <v>7</v>
      </c>
      <c r="B8" s="4" t="s">
        <v>190</v>
      </c>
      <c r="C8" s="13" t="s">
        <v>25</v>
      </c>
      <c r="D8" s="7" t="n">
        <v>0</v>
      </c>
      <c r="E8" s="14" t="n">
        <v>5</v>
      </c>
      <c r="F8" s="7" t="n">
        <v>0</v>
      </c>
      <c r="G8" s="5" t="n">
        <f aca="false">D8+E8+F8</f>
        <v>5</v>
      </c>
      <c r="H8" s="5" t="n">
        <f aca="false">MAX(0,MIN(100,ROUND(50+(G8*5),0)))</f>
        <v>75</v>
      </c>
      <c r="I8" s="5" t="str">
        <f aca="false">IF(H8&gt;=90,"A+",IF(H8&gt;=73,"A",IF(H8&gt;=55,"B",IF(H8&gt;=40,"C",IF(H8&gt;=20,"D","F")))))</f>
        <v>A</v>
      </c>
      <c r="J8" s="6" t="s">
        <v>191</v>
      </c>
    </row>
    <row r="9" customFormat="false" ht="25.5" hidden="false" customHeight="true" outlineLevel="0" collapsed="false">
      <c r="A9" s="7" t="n">
        <v>8</v>
      </c>
      <c r="B9" s="4" t="s">
        <v>192</v>
      </c>
      <c r="C9" s="13" t="s">
        <v>25</v>
      </c>
      <c r="D9" s="7" t="n">
        <v>0</v>
      </c>
      <c r="E9" s="14" t="n">
        <v>5</v>
      </c>
      <c r="F9" s="14" t="n">
        <v>1</v>
      </c>
      <c r="G9" s="5" t="n">
        <f aca="false">D9+E9+F9</f>
        <v>6</v>
      </c>
      <c r="H9" s="5" t="n">
        <f aca="false">MAX(0,MIN(100,ROUND(50+(G9*5),0)))</f>
        <v>80</v>
      </c>
      <c r="I9" s="5" t="str">
        <f aca="false">IF(H9&gt;=90,"A+",IF(H9&gt;=73,"A",IF(H9&gt;=55,"B",IF(H9&gt;=40,"C",IF(H9&gt;=20,"D","F")))))</f>
        <v>A</v>
      </c>
      <c r="J9" s="6" t="s">
        <v>193</v>
      </c>
    </row>
    <row r="10" customFormat="false" ht="15" hidden="false" customHeight="false" outlineLevel="0" collapsed="false">
      <c r="A10" s="7" t="n">
        <v>9</v>
      </c>
      <c r="B10" s="4" t="s">
        <v>194</v>
      </c>
      <c r="C10" s="13" t="s">
        <v>25</v>
      </c>
      <c r="D10" s="7" t="n">
        <v>0</v>
      </c>
      <c r="E10" s="14" t="n">
        <v>5</v>
      </c>
      <c r="F10" s="7" t="n">
        <v>0</v>
      </c>
      <c r="G10" s="5" t="n">
        <f aca="false">D10+E10+F10</f>
        <v>5</v>
      </c>
      <c r="H10" s="5" t="n">
        <f aca="false">MAX(0,MIN(100,ROUND(50+(G10*5),0)))</f>
        <v>75</v>
      </c>
      <c r="I10" s="5" t="str">
        <f aca="false">IF(H10&gt;=90,"A+",IF(H10&gt;=73,"A",IF(H10&gt;=55,"B",IF(H10&gt;=40,"C",IF(H10&gt;=20,"D","F")))))</f>
        <v>A</v>
      </c>
      <c r="J10" s="6" t="s">
        <v>185</v>
      </c>
    </row>
    <row r="11" customFormat="false" ht="15" hidden="false" customHeight="false" outlineLevel="0" collapsed="false">
      <c r="A11" s="7" t="n">
        <v>10</v>
      </c>
      <c r="B11" s="4" t="s">
        <v>195</v>
      </c>
      <c r="C11" s="13" t="s">
        <v>25</v>
      </c>
      <c r="D11" s="7" t="n">
        <v>0</v>
      </c>
      <c r="E11" s="14" t="n">
        <v>5</v>
      </c>
      <c r="F11" s="7" t="n">
        <v>0</v>
      </c>
      <c r="G11" s="5" t="n">
        <f aca="false">D11+E11+F11</f>
        <v>5</v>
      </c>
      <c r="H11" s="5" t="n">
        <f aca="false">MAX(0,MIN(100,ROUND(50+(G11*5),0)))</f>
        <v>75</v>
      </c>
      <c r="I11" s="5" t="str">
        <f aca="false">IF(H11&gt;=90,"A+",IF(H11&gt;=73,"A",IF(H11&gt;=55,"B",IF(H11&gt;=40,"C",IF(H11&gt;=20,"D","F")))))</f>
        <v>A</v>
      </c>
      <c r="J11" s="6" t="s">
        <v>185</v>
      </c>
    </row>
    <row r="12" customFormat="false" ht="25.5" hidden="false" customHeight="true" outlineLevel="0" collapsed="false">
      <c r="A12" s="7" t="n">
        <v>11</v>
      </c>
      <c r="B12" s="4" t="s">
        <v>196</v>
      </c>
      <c r="C12" s="13" t="s">
        <v>25</v>
      </c>
      <c r="D12" s="14" t="n">
        <v>5</v>
      </c>
      <c r="E12" s="14" t="n">
        <v>5</v>
      </c>
      <c r="F12" s="14" t="n">
        <v>2</v>
      </c>
      <c r="G12" s="5" t="n">
        <f aca="false">D12+E12+F12</f>
        <v>12</v>
      </c>
      <c r="H12" s="5" t="n">
        <f aca="false">MAX(0,MIN(100,ROUND(50+(G12*5),0)))</f>
        <v>100</v>
      </c>
      <c r="I12" s="5" t="str">
        <f aca="false">IF(H12&gt;=90,"A+",IF(H12&gt;=73,"A",IF(H12&gt;=55,"B",IF(H12&gt;=40,"C",IF(H12&gt;=20,"D","F")))))</f>
        <v>A+</v>
      </c>
      <c r="J12" s="6" t="s">
        <v>197</v>
      </c>
    </row>
    <row r="13" customFormat="false" ht="25.5" hidden="false" customHeight="true" outlineLevel="0" collapsed="false">
      <c r="A13" s="7" t="n">
        <v>12</v>
      </c>
      <c r="B13" s="4" t="s">
        <v>198</v>
      </c>
      <c r="C13" s="15" t="s">
        <v>199</v>
      </c>
      <c r="D13" s="16" t="n">
        <v>-3</v>
      </c>
      <c r="E13" s="16" t="n">
        <v>-5</v>
      </c>
      <c r="F13" s="16" t="n">
        <v>-1</v>
      </c>
      <c r="G13" s="5" t="n">
        <f aca="false">D13+E13+F13</f>
        <v>-9</v>
      </c>
      <c r="H13" s="5" t="n">
        <f aca="false">MAX(0,MIN(100,ROUND(50+(G13*5),0)))</f>
        <v>5</v>
      </c>
      <c r="I13" s="5" t="str">
        <f aca="false">IF(H13&gt;=90,"A+",IF(H13&gt;=73,"A",IF(H13&gt;=55,"B",IF(H13&gt;=40,"C",IF(H13&gt;=20,"D","F")))))</f>
        <v>F</v>
      </c>
      <c r="J13" s="6" t="s">
        <v>200</v>
      </c>
    </row>
    <row r="14" customFormat="false" ht="25.5" hidden="false" customHeight="true" outlineLevel="0" collapsed="false">
      <c r="A14" s="7" t="n">
        <v>13</v>
      </c>
      <c r="B14" s="4" t="s">
        <v>201</v>
      </c>
      <c r="C14" s="13" t="s">
        <v>25</v>
      </c>
      <c r="D14" s="14" t="n">
        <v>5</v>
      </c>
      <c r="E14" s="14" t="n">
        <v>5</v>
      </c>
      <c r="F14" s="14" t="n">
        <v>3</v>
      </c>
      <c r="G14" s="5" t="n">
        <f aca="false">D14+E14+F14</f>
        <v>13</v>
      </c>
      <c r="H14" s="5" t="n">
        <f aca="false">MAX(0,MIN(100,ROUND(50+(G14*5),0)))</f>
        <v>100</v>
      </c>
      <c r="I14" s="5" t="str">
        <f aca="false">IF(H14&gt;=90,"A+",IF(H14&gt;=73,"A",IF(H14&gt;=55,"B",IF(H14&gt;=40,"C",IF(H14&gt;=20,"D","F")))))</f>
        <v>A+</v>
      </c>
      <c r="J14" s="6" t="s">
        <v>202</v>
      </c>
    </row>
    <row r="15" customFormat="false" ht="15" hidden="false" customHeight="false" outlineLevel="0" collapsed="false">
      <c r="A15" s="7" t="n">
        <v>14</v>
      </c>
      <c r="B15" s="4" t="s">
        <v>203</v>
      </c>
      <c r="C15" s="13" t="s">
        <v>25</v>
      </c>
      <c r="D15" s="7" t="n">
        <v>0</v>
      </c>
      <c r="E15" s="14" t="n">
        <v>5</v>
      </c>
      <c r="F15" s="7" t="n">
        <v>0</v>
      </c>
      <c r="G15" s="5" t="n">
        <f aca="false">D15+E15+F15</f>
        <v>5</v>
      </c>
      <c r="H15" s="5" t="n">
        <f aca="false">MAX(0,MIN(100,ROUND(50+(G15*5),0)))</f>
        <v>75</v>
      </c>
      <c r="I15" s="5" t="str">
        <f aca="false">IF(H15&gt;=90,"A+",IF(H15&gt;=73,"A",IF(H15&gt;=55,"B",IF(H15&gt;=40,"C",IF(H15&gt;=20,"D","F")))))</f>
        <v>A</v>
      </c>
      <c r="J15" s="6" t="s">
        <v>185</v>
      </c>
    </row>
    <row r="16" customFormat="false" ht="15" hidden="false" customHeight="false" outlineLevel="0" collapsed="false">
      <c r="A16" s="7" t="n">
        <v>15</v>
      </c>
      <c r="B16" s="4" t="s">
        <v>204</v>
      </c>
      <c r="C16" s="13" t="s">
        <v>25</v>
      </c>
      <c r="D16" s="7" t="n">
        <v>0</v>
      </c>
      <c r="E16" s="14" t="n">
        <v>5</v>
      </c>
      <c r="F16" s="7" t="n">
        <v>0</v>
      </c>
      <c r="G16" s="5" t="n">
        <f aca="false">D16+E16+F16</f>
        <v>5</v>
      </c>
      <c r="H16" s="5" t="n">
        <f aca="false">MAX(0,MIN(100,ROUND(50+(G16*5),0)))</f>
        <v>75</v>
      </c>
      <c r="I16" s="5" t="str">
        <f aca="false">IF(H16&gt;=90,"A+",IF(H16&gt;=73,"A",IF(H16&gt;=55,"B",IF(H16&gt;=40,"C",IF(H16&gt;=20,"D","F")))))</f>
        <v>A</v>
      </c>
      <c r="J16" s="6" t="s">
        <v>185</v>
      </c>
    </row>
    <row r="17" customFormat="false" ht="15" hidden="false" customHeight="false" outlineLevel="0" collapsed="false">
      <c r="A17" s="7" t="n">
        <v>16</v>
      </c>
      <c r="B17" s="4" t="s">
        <v>205</v>
      </c>
      <c r="C17" s="13" t="s">
        <v>25</v>
      </c>
      <c r="D17" s="7" t="n">
        <v>0</v>
      </c>
      <c r="E17" s="14" t="n">
        <v>5</v>
      </c>
      <c r="F17" s="7" t="n">
        <v>0</v>
      </c>
      <c r="G17" s="5" t="n">
        <f aca="false">D17+E17+F17</f>
        <v>5</v>
      </c>
      <c r="H17" s="5" t="n">
        <f aca="false">MAX(0,MIN(100,ROUND(50+(G17*5),0)))</f>
        <v>75</v>
      </c>
      <c r="I17" s="5" t="str">
        <f aca="false">IF(H17&gt;=90,"A+",IF(H17&gt;=73,"A",IF(H17&gt;=55,"B",IF(H17&gt;=40,"C",IF(H17&gt;=20,"D","F")))))</f>
        <v>A</v>
      </c>
      <c r="J17" s="6" t="s">
        <v>185</v>
      </c>
    </row>
    <row r="18" customFormat="false" ht="15" hidden="false" customHeight="false" outlineLevel="0" collapsed="false">
      <c r="A18" s="7" t="n">
        <v>17</v>
      </c>
      <c r="B18" s="4" t="s">
        <v>206</v>
      </c>
      <c r="C18" s="15" t="s">
        <v>199</v>
      </c>
      <c r="D18" s="7" t="n">
        <v>0</v>
      </c>
      <c r="E18" s="16" t="n">
        <v>-5</v>
      </c>
      <c r="F18" s="7" t="n">
        <v>0</v>
      </c>
      <c r="G18" s="5" t="n">
        <f aca="false">D18+E18+F18</f>
        <v>-5</v>
      </c>
      <c r="H18" s="5" t="n">
        <f aca="false">MAX(0,MIN(100,ROUND(50+(G18*5),0)))</f>
        <v>25</v>
      </c>
      <c r="I18" s="5" t="str">
        <f aca="false">IF(H18&gt;=90,"A+",IF(H18&gt;=73,"A",IF(H18&gt;=55,"B",IF(H18&gt;=40,"C",IF(H18&gt;=20,"D","F")))))</f>
        <v>D</v>
      </c>
      <c r="J18" s="6" t="s">
        <v>207</v>
      </c>
    </row>
    <row r="19" customFormat="false" ht="15" hidden="false" customHeight="false" outlineLevel="0" collapsed="false">
      <c r="A19" s="7" t="n">
        <v>18</v>
      </c>
      <c r="B19" s="4" t="s">
        <v>208</v>
      </c>
      <c r="C19" s="13" t="s">
        <v>25</v>
      </c>
      <c r="D19" s="7" t="n">
        <v>0</v>
      </c>
      <c r="E19" s="14" t="n">
        <v>5</v>
      </c>
      <c r="F19" s="7" t="n">
        <v>0</v>
      </c>
      <c r="G19" s="5" t="n">
        <f aca="false">D19+E19+F19</f>
        <v>5</v>
      </c>
      <c r="H19" s="5" t="n">
        <f aca="false">MAX(0,MIN(100,ROUND(50+(G19*5),0)))</f>
        <v>75</v>
      </c>
      <c r="I19" s="5" t="str">
        <f aca="false">IF(H19&gt;=90,"A+",IF(H19&gt;=73,"A",IF(H19&gt;=55,"B",IF(H19&gt;=40,"C",IF(H19&gt;=20,"D","F")))))</f>
        <v>A</v>
      </c>
      <c r="J19" s="6" t="s">
        <v>185</v>
      </c>
    </row>
    <row r="20" customFormat="false" ht="15" hidden="false" customHeight="false" outlineLevel="0" collapsed="false">
      <c r="A20" s="7" t="n">
        <v>19</v>
      </c>
      <c r="B20" s="4" t="s">
        <v>209</v>
      </c>
      <c r="C20" s="13" t="s">
        <v>25</v>
      </c>
      <c r="D20" s="7" t="n">
        <v>0</v>
      </c>
      <c r="E20" s="14" t="n">
        <v>5</v>
      </c>
      <c r="F20" s="7" t="n">
        <v>0</v>
      </c>
      <c r="G20" s="5" t="n">
        <f aca="false">D20+E20+F20</f>
        <v>5</v>
      </c>
      <c r="H20" s="5" t="n">
        <f aca="false">MAX(0,MIN(100,ROUND(50+(G20*5),0)))</f>
        <v>75</v>
      </c>
      <c r="I20" s="5" t="str">
        <f aca="false">IF(H20&gt;=90,"A+",IF(H20&gt;=73,"A",IF(H20&gt;=55,"B",IF(H20&gt;=40,"C",IF(H20&gt;=20,"D","F")))))</f>
        <v>A</v>
      </c>
      <c r="J20" s="6" t="s">
        <v>185</v>
      </c>
    </row>
    <row r="21" customFormat="false" ht="15" hidden="false" customHeight="false" outlineLevel="0" collapsed="false">
      <c r="A21" s="7" t="n">
        <v>20</v>
      </c>
      <c r="B21" s="4" t="s">
        <v>210</v>
      </c>
      <c r="C21" s="13" t="s">
        <v>25</v>
      </c>
      <c r="D21" s="7" t="n">
        <v>0</v>
      </c>
      <c r="E21" s="14" t="n">
        <v>5</v>
      </c>
      <c r="F21" s="7" t="n">
        <v>0</v>
      </c>
      <c r="G21" s="5" t="n">
        <f aca="false">D21+E21+F21</f>
        <v>5</v>
      </c>
      <c r="H21" s="5" t="n">
        <f aca="false">MAX(0,MIN(100,ROUND(50+(G21*5),0)))</f>
        <v>75</v>
      </c>
      <c r="I21" s="5" t="str">
        <f aca="false">IF(H21&gt;=90,"A+",IF(H21&gt;=73,"A",IF(H21&gt;=55,"B",IF(H21&gt;=40,"C",IF(H21&gt;=20,"D","F")))))</f>
        <v>A</v>
      </c>
      <c r="J21" s="6" t="s">
        <v>185</v>
      </c>
    </row>
    <row r="22" customFormat="false" ht="25.5" hidden="false" customHeight="true" outlineLevel="0" collapsed="false">
      <c r="A22" s="7" t="n">
        <v>21</v>
      </c>
      <c r="B22" s="4" t="s">
        <v>211</v>
      </c>
      <c r="C22" s="13" t="s">
        <v>25</v>
      </c>
      <c r="D22" s="7" t="n">
        <v>0</v>
      </c>
      <c r="E22" s="14" t="n">
        <v>5</v>
      </c>
      <c r="F22" s="14" t="n">
        <v>1</v>
      </c>
      <c r="G22" s="5" t="n">
        <f aca="false">D22+E22+F22</f>
        <v>6</v>
      </c>
      <c r="H22" s="5" t="n">
        <f aca="false">MAX(0,MIN(100,ROUND(50+(G22*5),0)))</f>
        <v>80</v>
      </c>
      <c r="I22" s="5" t="str">
        <f aca="false">IF(H22&gt;=90,"A+",IF(H22&gt;=73,"A",IF(H22&gt;=55,"B",IF(H22&gt;=40,"C",IF(H22&gt;=20,"D","F")))))</f>
        <v>A</v>
      </c>
      <c r="J22" s="6" t="s">
        <v>212</v>
      </c>
    </row>
    <row r="23" customFormat="false" ht="15" hidden="false" customHeight="false" outlineLevel="0" collapsed="false">
      <c r="A23" s="7" t="n">
        <v>22</v>
      </c>
      <c r="B23" s="4" t="s">
        <v>213</v>
      </c>
      <c r="C23" s="13" t="s">
        <v>25</v>
      </c>
      <c r="D23" s="14" t="n">
        <v>2</v>
      </c>
      <c r="E23" s="14" t="n">
        <v>5</v>
      </c>
      <c r="F23" s="14" t="n">
        <v>1</v>
      </c>
      <c r="G23" s="5" t="n">
        <f aca="false">D23+E23+F23</f>
        <v>8</v>
      </c>
      <c r="H23" s="5" t="n">
        <f aca="false">MAX(0,MIN(100,ROUND(50+(G23*5),0)))</f>
        <v>90</v>
      </c>
      <c r="I23" s="5" t="str">
        <f aca="false">IF(H23&gt;=90,"A+",IF(H23&gt;=73,"A",IF(H23&gt;=55,"B",IF(H23&gt;=40,"C",IF(H23&gt;=20,"D","F")))))</f>
        <v>A+</v>
      </c>
      <c r="J23" s="6" t="s">
        <v>214</v>
      </c>
    </row>
    <row r="24" customFormat="false" ht="15" hidden="false" customHeight="false" outlineLevel="0" collapsed="false">
      <c r="A24" s="7" t="n">
        <v>23</v>
      </c>
      <c r="B24" s="4" t="s">
        <v>215</v>
      </c>
      <c r="C24" s="13" t="s">
        <v>25</v>
      </c>
      <c r="D24" s="7" t="n">
        <v>0</v>
      </c>
      <c r="E24" s="14" t="n">
        <v>5</v>
      </c>
      <c r="F24" s="7" t="n">
        <v>0</v>
      </c>
      <c r="G24" s="5" t="n">
        <f aca="false">D24+E24+F24</f>
        <v>5</v>
      </c>
      <c r="H24" s="5" t="n">
        <f aca="false">MAX(0,MIN(100,ROUND(50+(G24*5),0)))</f>
        <v>75</v>
      </c>
      <c r="I24" s="5" t="str">
        <f aca="false">IF(H24&gt;=90,"A+",IF(H24&gt;=73,"A",IF(H24&gt;=55,"B",IF(H24&gt;=40,"C",IF(H24&gt;=20,"D","F")))))</f>
        <v>A</v>
      </c>
      <c r="J24" s="6" t="s">
        <v>185</v>
      </c>
    </row>
    <row r="25" customFormat="false" ht="25.5" hidden="false" customHeight="true" outlineLevel="0" collapsed="false">
      <c r="A25" s="7" t="n">
        <v>24</v>
      </c>
      <c r="B25" s="4" t="s">
        <v>216</v>
      </c>
      <c r="C25" s="13" t="s">
        <v>25</v>
      </c>
      <c r="D25" s="7" t="n">
        <v>0</v>
      </c>
      <c r="E25" s="14" t="n">
        <v>5</v>
      </c>
      <c r="F25" s="14" t="n">
        <v>1</v>
      </c>
      <c r="G25" s="5" t="n">
        <f aca="false">D25+E25+F25</f>
        <v>6</v>
      </c>
      <c r="H25" s="5" t="n">
        <f aca="false">MAX(0,MIN(100,ROUND(50+(G25*5),0)))</f>
        <v>80</v>
      </c>
      <c r="I25" s="5" t="str">
        <f aca="false">IF(H25&gt;=90,"A+",IF(H25&gt;=73,"A",IF(H25&gt;=55,"B",IF(H25&gt;=40,"C",IF(H25&gt;=20,"D","F")))))</f>
        <v>A</v>
      </c>
      <c r="J25" s="6" t="s">
        <v>217</v>
      </c>
    </row>
    <row r="26" customFormat="false" ht="15" hidden="false" customHeight="false" outlineLevel="0" collapsed="false">
      <c r="A26" s="7" t="n">
        <v>25</v>
      </c>
      <c r="B26" s="4" t="s">
        <v>218</v>
      </c>
      <c r="C26" s="13" t="s">
        <v>25</v>
      </c>
      <c r="D26" s="7" t="n">
        <v>0</v>
      </c>
      <c r="E26" s="14" t="n">
        <v>5</v>
      </c>
      <c r="F26" s="7" t="n">
        <v>0</v>
      </c>
      <c r="G26" s="5" t="n">
        <f aca="false">D26+E26+F26</f>
        <v>5</v>
      </c>
      <c r="H26" s="5" t="n">
        <f aca="false">MAX(0,MIN(100,ROUND(50+(G26*5),0)))</f>
        <v>75</v>
      </c>
      <c r="I26" s="5" t="str">
        <f aca="false">IF(H26&gt;=90,"A+",IF(H26&gt;=73,"A",IF(H26&gt;=55,"B",IF(H26&gt;=40,"C",IF(H26&gt;=20,"D","F")))))</f>
        <v>A</v>
      </c>
      <c r="J26" s="6" t="s">
        <v>185</v>
      </c>
    </row>
    <row r="27" customFormat="false" ht="15" hidden="false" customHeight="false" outlineLevel="0" collapsed="false">
      <c r="A27" s="7" t="n">
        <v>26</v>
      </c>
      <c r="B27" s="4" t="s">
        <v>219</v>
      </c>
      <c r="C27" s="13" t="s">
        <v>25</v>
      </c>
      <c r="D27" s="7" t="n">
        <v>0</v>
      </c>
      <c r="E27" s="14" t="n">
        <v>5</v>
      </c>
      <c r="F27" s="7" t="n">
        <v>0</v>
      </c>
      <c r="G27" s="5" t="n">
        <f aca="false">D27+E27+F27</f>
        <v>5</v>
      </c>
      <c r="H27" s="5" t="n">
        <f aca="false">MAX(0,MIN(100,ROUND(50+(G27*5),0)))</f>
        <v>75</v>
      </c>
      <c r="I27" s="5" t="str">
        <f aca="false">IF(H27&gt;=90,"A+",IF(H27&gt;=73,"A",IF(H27&gt;=55,"B",IF(H27&gt;=40,"C",IF(H27&gt;=20,"D","F")))))</f>
        <v>A</v>
      </c>
      <c r="J27" s="6" t="s">
        <v>185</v>
      </c>
    </row>
    <row r="28" customFormat="false" ht="15" hidden="false" customHeight="false" outlineLevel="0" collapsed="false">
      <c r="A28" s="7" t="n">
        <v>27</v>
      </c>
      <c r="B28" s="4" t="s">
        <v>220</v>
      </c>
      <c r="C28" s="13" t="s">
        <v>25</v>
      </c>
      <c r="D28" s="7" t="n">
        <v>0</v>
      </c>
      <c r="E28" s="14" t="n">
        <v>5</v>
      </c>
      <c r="F28" s="7" t="n">
        <v>0</v>
      </c>
      <c r="G28" s="5" t="n">
        <f aca="false">D28+E28+F28</f>
        <v>5</v>
      </c>
      <c r="H28" s="5" t="n">
        <f aca="false">MAX(0,MIN(100,ROUND(50+(G28*5),0)))</f>
        <v>75</v>
      </c>
      <c r="I28" s="5" t="str">
        <f aca="false">IF(H28&gt;=90,"A+",IF(H28&gt;=73,"A",IF(H28&gt;=55,"B",IF(H28&gt;=40,"C",IF(H28&gt;=20,"D","F")))))</f>
        <v>A</v>
      </c>
      <c r="J28" s="6" t="s">
        <v>185</v>
      </c>
    </row>
    <row r="29" customFormat="false" ht="25.5" hidden="false" customHeight="true" outlineLevel="0" collapsed="false">
      <c r="A29" s="7" t="n">
        <v>28</v>
      </c>
      <c r="B29" s="4" t="s">
        <v>221</v>
      </c>
      <c r="C29" s="13" t="s">
        <v>25</v>
      </c>
      <c r="D29" s="14" t="n">
        <v>5</v>
      </c>
      <c r="E29" s="14" t="n">
        <v>5</v>
      </c>
      <c r="F29" s="14" t="n">
        <v>2</v>
      </c>
      <c r="G29" s="5" t="n">
        <f aca="false">D29+E29+F29</f>
        <v>12</v>
      </c>
      <c r="H29" s="5" t="n">
        <f aca="false">MAX(0,MIN(100,ROUND(50+(G29*5),0)))</f>
        <v>100</v>
      </c>
      <c r="I29" s="5" t="str">
        <f aca="false">IF(H29&gt;=90,"A+",IF(H29&gt;=73,"A",IF(H29&gt;=55,"B",IF(H29&gt;=40,"C",IF(H29&gt;=20,"D","F")))))</f>
        <v>A+</v>
      </c>
      <c r="J29" s="6" t="s">
        <v>222</v>
      </c>
    </row>
    <row r="30" customFormat="false" ht="15" hidden="false" customHeight="false" outlineLevel="0" collapsed="false">
      <c r="A30" s="7" t="n">
        <v>29</v>
      </c>
      <c r="B30" s="4" t="s">
        <v>223</v>
      </c>
      <c r="C30" s="15" t="s">
        <v>199</v>
      </c>
      <c r="D30" s="7" t="n">
        <v>0</v>
      </c>
      <c r="E30" s="16" t="n">
        <v>-5</v>
      </c>
      <c r="F30" s="7" t="n">
        <v>0</v>
      </c>
      <c r="G30" s="5" t="n">
        <f aca="false">D30+E30+F30</f>
        <v>-5</v>
      </c>
      <c r="H30" s="5" t="n">
        <f aca="false">MAX(0,MIN(100,ROUND(50+(G30*5),0)))</f>
        <v>25</v>
      </c>
      <c r="I30" s="5" t="str">
        <f aca="false">IF(H30&gt;=90,"A+",IF(H30&gt;=73,"A",IF(H30&gt;=55,"B",IF(H30&gt;=40,"C",IF(H30&gt;=20,"D","F")))))</f>
        <v>D</v>
      </c>
      <c r="J30" s="6" t="s">
        <v>207</v>
      </c>
    </row>
    <row r="31" customFormat="false" ht="15" hidden="false" customHeight="false" outlineLevel="0" collapsed="false">
      <c r="A31" s="7" t="n">
        <v>30</v>
      </c>
      <c r="B31" s="4" t="s">
        <v>224</v>
      </c>
      <c r="C31" s="15" t="s">
        <v>199</v>
      </c>
      <c r="D31" s="7" t="n">
        <v>0</v>
      </c>
      <c r="E31" s="16" t="n">
        <v>-5</v>
      </c>
      <c r="F31" s="7" t="n">
        <v>0</v>
      </c>
      <c r="G31" s="5" t="n">
        <f aca="false">D31+E31+F31</f>
        <v>-5</v>
      </c>
      <c r="H31" s="5" t="n">
        <f aca="false">MAX(0,MIN(100,ROUND(50+(G31*5),0)))</f>
        <v>25</v>
      </c>
      <c r="I31" s="5" t="str">
        <f aca="false">IF(H31&gt;=90,"A+",IF(H31&gt;=73,"A",IF(H31&gt;=55,"B",IF(H31&gt;=40,"C",IF(H31&gt;=20,"D","F")))))</f>
        <v>D</v>
      </c>
      <c r="J31" s="6" t="s">
        <v>207</v>
      </c>
    </row>
    <row r="32" customFormat="false" ht="15" hidden="false" customHeight="false" outlineLevel="0" collapsed="false">
      <c r="A32" s="7" t="n">
        <v>31</v>
      </c>
      <c r="B32" s="4" t="s">
        <v>225</v>
      </c>
      <c r="C32" s="15" t="s">
        <v>199</v>
      </c>
      <c r="D32" s="7" t="n">
        <v>0</v>
      </c>
      <c r="E32" s="16" t="n">
        <v>-5</v>
      </c>
      <c r="F32" s="7" t="n">
        <v>0</v>
      </c>
      <c r="G32" s="5" t="n">
        <f aca="false">D32+E32+F32</f>
        <v>-5</v>
      </c>
      <c r="H32" s="5" t="n">
        <f aca="false">MAX(0,MIN(100,ROUND(50+(G32*5),0)))</f>
        <v>25</v>
      </c>
      <c r="I32" s="5" t="str">
        <f aca="false">IF(H32&gt;=90,"A+",IF(H32&gt;=73,"A",IF(H32&gt;=55,"B",IF(H32&gt;=40,"C",IF(H32&gt;=20,"D","F")))))</f>
        <v>D</v>
      </c>
      <c r="J32" s="6" t="s">
        <v>207</v>
      </c>
    </row>
    <row r="33" customFormat="false" ht="15" hidden="false" customHeight="false" outlineLevel="0" collapsed="false">
      <c r="A33" s="7" t="n">
        <v>32</v>
      </c>
      <c r="B33" s="4" t="s">
        <v>226</v>
      </c>
      <c r="C33" s="15" t="s">
        <v>199</v>
      </c>
      <c r="D33" s="7" t="n">
        <v>0</v>
      </c>
      <c r="E33" s="16" t="n">
        <v>-5</v>
      </c>
      <c r="F33" s="7" t="n">
        <v>0</v>
      </c>
      <c r="G33" s="5" t="n">
        <f aca="false">D33+E33+F33</f>
        <v>-5</v>
      </c>
      <c r="H33" s="5" t="n">
        <f aca="false">MAX(0,MIN(100,ROUND(50+(G33*5),0)))</f>
        <v>25</v>
      </c>
      <c r="I33" s="5" t="str">
        <f aca="false">IF(H33&gt;=90,"A+",IF(H33&gt;=73,"A",IF(H33&gt;=55,"B",IF(H33&gt;=40,"C",IF(H33&gt;=20,"D","F")))))</f>
        <v>D</v>
      </c>
      <c r="J33" s="6" t="s">
        <v>207</v>
      </c>
    </row>
    <row r="34" customFormat="false" ht="15" hidden="false" customHeight="false" outlineLevel="0" collapsed="false">
      <c r="A34" s="7" t="n">
        <v>33</v>
      </c>
      <c r="B34" s="4" t="s">
        <v>227</v>
      </c>
      <c r="C34" s="13" t="s">
        <v>25</v>
      </c>
      <c r="D34" s="7" t="n">
        <v>0</v>
      </c>
      <c r="E34" s="14" t="n">
        <v>5</v>
      </c>
      <c r="F34" s="7" t="n">
        <v>0</v>
      </c>
      <c r="G34" s="5" t="n">
        <f aca="false">D34+E34+F34</f>
        <v>5</v>
      </c>
      <c r="H34" s="5" t="n">
        <f aca="false">MAX(0,MIN(100,ROUND(50+(G34*5),0)))</f>
        <v>75</v>
      </c>
      <c r="I34" s="5" t="str">
        <f aca="false">IF(H34&gt;=90,"A+",IF(H34&gt;=73,"A",IF(H34&gt;=55,"B",IF(H34&gt;=40,"C",IF(H34&gt;=20,"D","F")))))</f>
        <v>A</v>
      </c>
      <c r="J34" s="6" t="s">
        <v>185</v>
      </c>
    </row>
    <row r="35" customFormat="false" ht="15" hidden="false" customHeight="false" outlineLevel="0" collapsed="false">
      <c r="A35" s="7" t="n">
        <v>34</v>
      </c>
      <c r="B35" s="4" t="s">
        <v>228</v>
      </c>
      <c r="C35" s="13" t="s">
        <v>25</v>
      </c>
      <c r="D35" s="7" t="n">
        <v>0</v>
      </c>
      <c r="E35" s="14" t="n">
        <v>5</v>
      </c>
      <c r="F35" s="7" t="n">
        <v>0</v>
      </c>
      <c r="G35" s="5" t="n">
        <f aca="false">D35+E35+F35</f>
        <v>5</v>
      </c>
      <c r="H35" s="5" t="n">
        <f aca="false">MAX(0,MIN(100,ROUND(50+(G35*5),0)))</f>
        <v>75</v>
      </c>
      <c r="I35" s="5" t="str">
        <f aca="false">IF(H35&gt;=90,"A+",IF(H35&gt;=73,"A",IF(H35&gt;=55,"B",IF(H35&gt;=40,"C",IF(H35&gt;=20,"D","F")))))</f>
        <v>A</v>
      </c>
      <c r="J35" s="6" t="s">
        <v>185</v>
      </c>
    </row>
    <row r="36" customFormat="false" ht="15" hidden="false" customHeight="false" outlineLevel="0" collapsed="false">
      <c r="A36" s="7" t="n">
        <v>35</v>
      </c>
      <c r="B36" s="4" t="s">
        <v>229</v>
      </c>
      <c r="C36" s="15" t="s">
        <v>199</v>
      </c>
      <c r="D36" s="7" t="n">
        <v>0</v>
      </c>
      <c r="E36" s="16" t="n">
        <v>-5</v>
      </c>
      <c r="F36" s="7" t="n">
        <v>0</v>
      </c>
      <c r="G36" s="5" t="n">
        <f aca="false">D36+E36+F36</f>
        <v>-5</v>
      </c>
      <c r="H36" s="5" t="n">
        <f aca="false">MAX(0,MIN(100,ROUND(50+(G36*5),0)))</f>
        <v>25</v>
      </c>
      <c r="I36" s="5" t="str">
        <f aca="false">IF(H36&gt;=90,"A+",IF(H36&gt;=73,"A",IF(H36&gt;=55,"B",IF(H36&gt;=40,"C",IF(H36&gt;=20,"D","F")))))</f>
        <v>D</v>
      </c>
      <c r="J36" s="6" t="s">
        <v>207</v>
      </c>
    </row>
    <row r="37" customFormat="false" ht="25.5" hidden="false" customHeight="true" outlineLevel="0" collapsed="false">
      <c r="A37" s="7" t="n">
        <v>36</v>
      </c>
      <c r="B37" s="4" t="s">
        <v>230</v>
      </c>
      <c r="C37" s="15" t="s">
        <v>199</v>
      </c>
      <c r="D37" s="7" t="n">
        <v>0</v>
      </c>
      <c r="E37" s="16" t="n">
        <v>-2</v>
      </c>
      <c r="F37" s="14" t="n">
        <v>1</v>
      </c>
      <c r="G37" s="5" t="n">
        <f aca="false">D37+E37+F37</f>
        <v>-1</v>
      </c>
      <c r="H37" s="5" t="n">
        <f aca="false">MAX(0,MIN(100,ROUND(50+(G37*5),0)))</f>
        <v>45</v>
      </c>
      <c r="I37" s="5" t="str">
        <f aca="false">IF(H37&gt;=90,"A+",IF(H37&gt;=73,"A",IF(H37&gt;=55,"B",IF(H37&gt;=40,"C",IF(H37&gt;=20,"D","F")))))</f>
        <v>C</v>
      </c>
      <c r="J37" s="6" t="s">
        <v>231</v>
      </c>
    </row>
    <row r="38" customFormat="false" ht="25.5" hidden="false" customHeight="true" outlineLevel="0" collapsed="false">
      <c r="A38" s="7" t="n">
        <v>37</v>
      </c>
      <c r="B38" s="4" t="s">
        <v>232</v>
      </c>
      <c r="C38" s="15" t="s">
        <v>199</v>
      </c>
      <c r="D38" s="16" t="n">
        <v>-2</v>
      </c>
      <c r="E38" s="16" t="n">
        <v>-5</v>
      </c>
      <c r="F38" s="16" t="n">
        <v>-1</v>
      </c>
      <c r="G38" s="5" t="n">
        <f aca="false">D38+E38+F38</f>
        <v>-8</v>
      </c>
      <c r="H38" s="5" t="n">
        <f aca="false">MAX(0,MIN(100,ROUND(50+(G38*5),0)))</f>
        <v>10</v>
      </c>
      <c r="I38" s="5" t="str">
        <f aca="false">IF(H38&gt;=90,"A+",IF(H38&gt;=73,"A",IF(H38&gt;=55,"B",IF(H38&gt;=40,"C",IF(H38&gt;=20,"D","F")))))</f>
        <v>F</v>
      </c>
      <c r="J38" s="6" t="s">
        <v>233</v>
      </c>
    </row>
    <row r="39" customFormat="false" ht="15" hidden="false" customHeight="false" outlineLevel="0" collapsed="false">
      <c r="A39" s="7" t="n">
        <v>38</v>
      </c>
      <c r="B39" s="4" t="s">
        <v>234</v>
      </c>
      <c r="C39" s="13" t="s">
        <v>25</v>
      </c>
      <c r="D39" s="7" t="n">
        <v>0</v>
      </c>
      <c r="E39" s="14" t="n">
        <v>5</v>
      </c>
      <c r="F39" s="7" t="n">
        <v>0</v>
      </c>
      <c r="G39" s="5" t="n">
        <f aca="false">D39+E39+F39</f>
        <v>5</v>
      </c>
      <c r="H39" s="5" t="n">
        <f aca="false">MAX(0,MIN(100,ROUND(50+(G39*5),0)))</f>
        <v>75</v>
      </c>
      <c r="I39" s="5" t="str">
        <f aca="false">IF(H39&gt;=90,"A+",IF(H39&gt;=73,"A",IF(H39&gt;=55,"B",IF(H39&gt;=40,"C",IF(H39&gt;=20,"D","F")))))</f>
        <v>A</v>
      </c>
      <c r="J39" s="6" t="s">
        <v>185</v>
      </c>
    </row>
    <row r="40" customFormat="false" ht="15" hidden="false" customHeight="false" outlineLevel="0" collapsed="false">
      <c r="A40" s="7" t="n">
        <v>39</v>
      </c>
      <c r="B40" s="4" t="s">
        <v>235</v>
      </c>
      <c r="C40" s="15" t="s">
        <v>199</v>
      </c>
      <c r="D40" s="7" t="n">
        <v>0</v>
      </c>
      <c r="E40" s="16" t="n">
        <v>-5</v>
      </c>
      <c r="F40" s="7" t="n">
        <v>0</v>
      </c>
      <c r="G40" s="5" t="n">
        <f aca="false">D40+E40+F40</f>
        <v>-5</v>
      </c>
      <c r="H40" s="5" t="n">
        <f aca="false">MAX(0,MIN(100,ROUND(50+(G40*5),0)))</f>
        <v>25</v>
      </c>
      <c r="I40" s="5" t="str">
        <f aca="false">IF(H40&gt;=90,"A+",IF(H40&gt;=73,"A",IF(H40&gt;=55,"B",IF(H40&gt;=40,"C",IF(H40&gt;=20,"D","F")))))</f>
        <v>D</v>
      </c>
      <c r="J40" s="6" t="s">
        <v>207</v>
      </c>
    </row>
    <row r="41" customFormat="false" ht="39" hidden="false" customHeight="true" outlineLevel="0" collapsed="false">
      <c r="A41" s="7" t="n">
        <v>40</v>
      </c>
      <c r="B41" s="4" t="s">
        <v>236</v>
      </c>
      <c r="C41" s="15" t="s">
        <v>199</v>
      </c>
      <c r="D41" s="16" t="n">
        <v>-3</v>
      </c>
      <c r="E41" s="16" t="n">
        <v>-5</v>
      </c>
      <c r="F41" s="16" t="n">
        <v>-3</v>
      </c>
      <c r="G41" s="5" t="n">
        <f aca="false">D41+E41+F41</f>
        <v>-11</v>
      </c>
      <c r="H41" s="5" t="n">
        <f aca="false">MAX(0,MIN(100,ROUND(50+(G41*5),0)))</f>
        <v>0</v>
      </c>
      <c r="I41" s="5" t="str">
        <f aca="false">IF(H41&gt;=90,"A+",IF(H41&gt;=73,"A",IF(H41&gt;=55,"B",IF(H41&gt;=40,"C",IF(H41&gt;=20,"D","F")))))</f>
        <v>F</v>
      </c>
      <c r="J41" s="6" t="s">
        <v>237</v>
      </c>
    </row>
    <row r="42" customFormat="false" ht="15" hidden="false" customHeight="false" outlineLevel="0" collapsed="false">
      <c r="A42" s="7" t="n">
        <v>41</v>
      </c>
      <c r="B42" s="4" t="s">
        <v>238</v>
      </c>
      <c r="C42" s="13" t="s">
        <v>25</v>
      </c>
      <c r="D42" s="7" t="n">
        <v>0</v>
      </c>
      <c r="E42" s="14" t="n">
        <v>5</v>
      </c>
      <c r="F42" s="7" t="n">
        <v>0</v>
      </c>
      <c r="G42" s="5" t="n">
        <f aca="false">D42+E42+F42</f>
        <v>5</v>
      </c>
      <c r="H42" s="5" t="n">
        <f aca="false">MAX(0,MIN(100,ROUND(50+(G42*5),0)))</f>
        <v>75</v>
      </c>
      <c r="I42" s="5" t="str">
        <f aca="false">IF(H42&gt;=90,"A+",IF(H42&gt;=73,"A",IF(H42&gt;=55,"B",IF(H42&gt;=40,"C",IF(H42&gt;=20,"D","F")))))</f>
        <v>A</v>
      </c>
      <c r="J42" s="6" t="s">
        <v>185</v>
      </c>
    </row>
    <row r="43" customFormat="false" ht="15" hidden="false" customHeight="false" outlineLevel="0" collapsed="false">
      <c r="A43" s="7" t="n">
        <v>42</v>
      </c>
      <c r="B43" s="4" t="s">
        <v>239</v>
      </c>
      <c r="C43" s="13" t="s">
        <v>25</v>
      </c>
      <c r="D43" s="7" t="n">
        <v>0</v>
      </c>
      <c r="E43" s="14" t="n">
        <v>5</v>
      </c>
      <c r="F43" s="7" t="n">
        <v>0</v>
      </c>
      <c r="G43" s="5" t="n">
        <f aca="false">D43+E43+F43</f>
        <v>5</v>
      </c>
      <c r="H43" s="5" t="n">
        <f aca="false">MAX(0,MIN(100,ROUND(50+(G43*5),0)))</f>
        <v>75</v>
      </c>
      <c r="I43" s="5" t="str">
        <f aca="false">IF(H43&gt;=90,"A+",IF(H43&gt;=73,"A",IF(H43&gt;=55,"B",IF(H43&gt;=40,"C",IF(H43&gt;=20,"D","F")))))</f>
        <v>A</v>
      </c>
      <c r="J43" s="6" t="s">
        <v>185</v>
      </c>
    </row>
    <row r="44" customFormat="false" ht="15" hidden="false" customHeight="false" outlineLevel="0" collapsed="false">
      <c r="A44" s="7" t="n">
        <v>43</v>
      </c>
      <c r="B44" s="4" t="s">
        <v>240</v>
      </c>
      <c r="C44" s="13" t="s">
        <v>25</v>
      </c>
      <c r="D44" s="7" t="n">
        <v>0</v>
      </c>
      <c r="E44" s="14" t="n">
        <v>5</v>
      </c>
      <c r="F44" s="7" t="n">
        <v>0</v>
      </c>
      <c r="G44" s="5" t="n">
        <f aca="false">D44+E44+F44</f>
        <v>5</v>
      </c>
      <c r="H44" s="5" t="n">
        <f aca="false">MAX(0,MIN(100,ROUND(50+(G44*5),0)))</f>
        <v>75</v>
      </c>
      <c r="I44" s="5" t="str">
        <f aca="false">IF(H44&gt;=90,"A+",IF(H44&gt;=73,"A",IF(H44&gt;=55,"B",IF(H44&gt;=40,"C",IF(H44&gt;=20,"D","F")))))</f>
        <v>A</v>
      </c>
      <c r="J44" s="6" t="s">
        <v>185</v>
      </c>
    </row>
    <row r="45" customFormat="false" ht="51.75" hidden="false" customHeight="true" outlineLevel="0" collapsed="false">
      <c r="A45" s="7" t="n">
        <v>44</v>
      </c>
      <c r="B45" s="4" t="s">
        <v>241</v>
      </c>
      <c r="C45" s="15" t="s">
        <v>199</v>
      </c>
      <c r="D45" s="16" t="n">
        <v>-15</v>
      </c>
      <c r="E45" s="16" t="n">
        <v>-5</v>
      </c>
      <c r="F45" s="16" t="n">
        <v>-3</v>
      </c>
      <c r="G45" s="5" t="n">
        <f aca="false">D45+E45+F45</f>
        <v>-23</v>
      </c>
      <c r="H45" s="5" t="n">
        <f aca="false">MAX(0,MIN(100,ROUND(50+(G45*5),0)))</f>
        <v>0</v>
      </c>
      <c r="I45" s="5" t="str">
        <f aca="false">IF(H45&gt;=90,"A+",IF(H45&gt;=73,"A",IF(H45&gt;=55,"B",IF(H45&gt;=40,"C",IF(H45&gt;=20,"D","F")))))</f>
        <v>F</v>
      </c>
      <c r="J45" s="6" t="s">
        <v>242</v>
      </c>
    </row>
    <row r="46" customFormat="false" ht="15" hidden="false" customHeight="false" outlineLevel="0" collapsed="false">
      <c r="A46" s="7" t="n">
        <v>45</v>
      </c>
      <c r="B46" s="4" t="s">
        <v>243</v>
      </c>
      <c r="C46" s="15" t="s">
        <v>199</v>
      </c>
      <c r="D46" s="7" t="n">
        <v>0</v>
      </c>
      <c r="E46" s="16" t="n">
        <v>-5</v>
      </c>
      <c r="F46" s="7" t="n">
        <v>0</v>
      </c>
      <c r="G46" s="5" t="n">
        <f aca="false">D46+E46+F46</f>
        <v>-5</v>
      </c>
      <c r="H46" s="5" t="n">
        <f aca="false">MAX(0,MIN(100,ROUND(50+(G46*5),0)))</f>
        <v>25</v>
      </c>
      <c r="I46" s="5" t="str">
        <f aca="false">IF(H46&gt;=90,"A+",IF(H46&gt;=73,"A",IF(H46&gt;=55,"B",IF(H46&gt;=40,"C",IF(H46&gt;=20,"D","F")))))</f>
        <v>D</v>
      </c>
      <c r="J46" s="6" t="s">
        <v>207</v>
      </c>
    </row>
    <row r="47" customFormat="false" ht="15" hidden="false" customHeight="false" outlineLevel="0" collapsed="false">
      <c r="A47" s="7" t="n">
        <v>46</v>
      </c>
      <c r="B47" s="4" t="s">
        <v>244</v>
      </c>
      <c r="C47" s="15" t="s">
        <v>199</v>
      </c>
      <c r="D47" s="7" t="n">
        <v>0</v>
      </c>
      <c r="E47" s="16" t="n">
        <v>-5</v>
      </c>
      <c r="F47" s="7" t="n">
        <v>0</v>
      </c>
      <c r="G47" s="5" t="n">
        <f aca="false">D47+E47+F47</f>
        <v>-5</v>
      </c>
      <c r="H47" s="5" t="n">
        <f aca="false">MAX(0,MIN(100,ROUND(50+(G47*5),0)))</f>
        <v>25</v>
      </c>
      <c r="I47" s="5" t="str">
        <f aca="false">IF(H47&gt;=90,"A+",IF(H47&gt;=73,"A",IF(H47&gt;=55,"B",IF(H47&gt;=40,"C",IF(H47&gt;=20,"D","F")))))</f>
        <v>D</v>
      </c>
      <c r="J47" s="6" t="s">
        <v>207</v>
      </c>
    </row>
    <row r="48" customFormat="false" ht="15" hidden="false" customHeight="false" outlineLevel="0" collapsed="false">
      <c r="A48" s="7" t="n">
        <v>47</v>
      </c>
      <c r="B48" s="4" t="s">
        <v>245</v>
      </c>
      <c r="C48" s="15" t="s">
        <v>199</v>
      </c>
      <c r="D48" s="7" t="n">
        <v>0</v>
      </c>
      <c r="E48" s="16" t="n">
        <v>-5</v>
      </c>
      <c r="F48" s="7" t="n">
        <v>0</v>
      </c>
      <c r="G48" s="5" t="n">
        <f aca="false">D48+E48+F48</f>
        <v>-5</v>
      </c>
      <c r="H48" s="5" t="n">
        <f aca="false">MAX(0,MIN(100,ROUND(50+(G48*5),0)))</f>
        <v>25</v>
      </c>
      <c r="I48" s="5" t="str">
        <f aca="false">IF(H48&gt;=90,"A+",IF(H48&gt;=73,"A",IF(H48&gt;=55,"B",IF(H48&gt;=40,"C",IF(H48&gt;=20,"D","F")))))</f>
        <v>D</v>
      </c>
      <c r="J48" s="6" t="s">
        <v>207</v>
      </c>
    </row>
    <row r="49" customFormat="false" ht="15" hidden="false" customHeight="false" outlineLevel="0" collapsed="false">
      <c r="A49" s="7" t="n">
        <v>48</v>
      </c>
      <c r="B49" s="4" t="s">
        <v>246</v>
      </c>
      <c r="C49" s="15" t="s">
        <v>199</v>
      </c>
      <c r="D49" s="7" t="n">
        <v>0</v>
      </c>
      <c r="E49" s="16" t="n">
        <v>-5</v>
      </c>
      <c r="F49" s="7" t="n">
        <v>0</v>
      </c>
      <c r="G49" s="5" t="n">
        <f aca="false">D49+E49+F49</f>
        <v>-5</v>
      </c>
      <c r="H49" s="5" t="n">
        <f aca="false">MAX(0,MIN(100,ROUND(50+(G49*5),0)))</f>
        <v>25</v>
      </c>
      <c r="I49" s="5" t="str">
        <f aca="false">IF(H49&gt;=90,"A+",IF(H49&gt;=73,"A",IF(H49&gt;=55,"B",IF(H49&gt;=40,"C",IF(H49&gt;=20,"D","F")))))</f>
        <v>D</v>
      </c>
      <c r="J49" s="6" t="s">
        <v>207</v>
      </c>
    </row>
    <row r="50" customFormat="false" ht="15" hidden="false" customHeight="false" outlineLevel="0" collapsed="false">
      <c r="A50" s="7" t="n">
        <v>49</v>
      </c>
      <c r="B50" s="4" t="s">
        <v>247</v>
      </c>
      <c r="C50" s="15" t="s">
        <v>199</v>
      </c>
      <c r="D50" s="7" t="n">
        <v>0</v>
      </c>
      <c r="E50" s="16" t="n">
        <v>-5</v>
      </c>
      <c r="F50" s="7" t="n">
        <v>0</v>
      </c>
      <c r="G50" s="5" t="n">
        <f aca="false">D50+E50+F50</f>
        <v>-5</v>
      </c>
      <c r="H50" s="5" t="n">
        <f aca="false">MAX(0,MIN(100,ROUND(50+(G50*5),0)))</f>
        <v>25</v>
      </c>
      <c r="I50" s="5" t="str">
        <f aca="false">IF(H50&gt;=90,"A+",IF(H50&gt;=73,"A",IF(H50&gt;=55,"B",IF(H50&gt;=40,"C",IF(H50&gt;=20,"D","F")))))</f>
        <v>D</v>
      </c>
      <c r="J50" s="6" t="s">
        <v>207</v>
      </c>
    </row>
    <row r="51" customFormat="false" ht="15" hidden="false" customHeight="false" outlineLevel="0" collapsed="false">
      <c r="A51" s="7" t="n">
        <v>50</v>
      </c>
      <c r="B51" s="4" t="s">
        <v>248</v>
      </c>
      <c r="C51" s="15" t="s">
        <v>199</v>
      </c>
      <c r="D51" s="7" t="n">
        <v>0</v>
      </c>
      <c r="E51" s="16" t="n">
        <v>-5</v>
      </c>
      <c r="F51" s="7" t="n">
        <v>0</v>
      </c>
      <c r="G51" s="5" t="n">
        <f aca="false">D51+E51+F51</f>
        <v>-5</v>
      </c>
      <c r="H51" s="5" t="n">
        <f aca="false">MAX(0,MIN(100,ROUND(50+(G51*5),0)))</f>
        <v>25</v>
      </c>
      <c r="I51" s="5" t="str">
        <f aca="false">IF(H51&gt;=90,"A+",IF(H51&gt;=73,"A",IF(H51&gt;=55,"B",IF(H51&gt;=40,"C",IF(H51&gt;=20,"D","F")))))</f>
        <v>D</v>
      </c>
      <c r="J51" s="6" t="s">
        <v>207</v>
      </c>
    </row>
    <row r="52" customFormat="false" ht="15" hidden="false" customHeight="false" outlineLevel="0" collapsed="false">
      <c r="A52" s="7" t="n">
        <v>51</v>
      </c>
      <c r="B52" s="4" t="s">
        <v>249</v>
      </c>
      <c r="C52" s="15" t="s">
        <v>199</v>
      </c>
      <c r="D52" s="7" t="n">
        <v>0</v>
      </c>
      <c r="E52" s="16" t="n">
        <v>-5</v>
      </c>
      <c r="F52" s="7" t="n">
        <v>0</v>
      </c>
      <c r="G52" s="5" t="n">
        <f aca="false">D52+E52+F52</f>
        <v>-5</v>
      </c>
      <c r="H52" s="5" t="n">
        <f aca="false">MAX(0,MIN(100,ROUND(50+(G52*5),0)))</f>
        <v>25</v>
      </c>
      <c r="I52" s="5" t="str">
        <f aca="false">IF(H52&gt;=90,"A+",IF(H52&gt;=73,"A",IF(H52&gt;=55,"B",IF(H52&gt;=40,"C",IF(H52&gt;=20,"D","F")))))</f>
        <v>D</v>
      </c>
      <c r="J52" s="6" t="s">
        <v>207</v>
      </c>
    </row>
    <row r="53" customFormat="false" ht="25.5" hidden="false" customHeight="true" outlineLevel="0" collapsed="false">
      <c r="A53" s="7" t="n">
        <v>52</v>
      </c>
      <c r="B53" s="4" t="s">
        <v>250</v>
      </c>
      <c r="C53" s="15" t="s">
        <v>199</v>
      </c>
      <c r="D53" s="7" t="n">
        <v>0</v>
      </c>
      <c r="E53" s="16" t="n">
        <v>-2</v>
      </c>
      <c r="F53" s="14" t="n">
        <v>1</v>
      </c>
      <c r="G53" s="5" t="n">
        <f aca="false">D53+E53+F53</f>
        <v>-1</v>
      </c>
      <c r="H53" s="5" t="n">
        <f aca="false">MAX(0,MIN(100,ROUND(50+(G53*5),0)))</f>
        <v>45</v>
      </c>
      <c r="I53" s="5" t="str">
        <f aca="false">IF(H53&gt;=90,"A+",IF(H53&gt;=73,"A",IF(H53&gt;=55,"B",IF(H53&gt;=40,"C",IF(H53&gt;=20,"D","F")))))</f>
        <v>C</v>
      </c>
      <c r="J53" s="6" t="s">
        <v>251</v>
      </c>
    </row>
    <row r="54" customFormat="false" ht="15" hidden="false" customHeight="false" outlineLevel="0" collapsed="false">
      <c r="A54" s="7" t="n">
        <v>53</v>
      </c>
      <c r="B54" s="4" t="s">
        <v>252</v>
      </c>
      <c r="C54" s="13" t="s">
        <v>25</v>
      </c>
      <c r="D54" s="7" t="n">
        <v>0</v>
      </c>
      <c r="E54" s="14" t="n">
        <v>5</v>
      </c>
      <c r="F54" s="7" t="n">
        <v>0</v>
      </c>
      <c r="G54" s="5" t="n">
        <f aca="false">D54+E54+F54</f>
        <v>5</v>
      </c>
      <c r="H54" s="5" t="n">
        <f aca="false">MAX(0,MIN(100,ROUND(50+(G54*5),0)))</f>
        <v>75</v>
      </c>
      <c r="I54" s="5" t="str">
        <f aca="false">IF(H54&gt;=90,"A+",IF(H54&gt;=73,"A",IF(H54&gt;=55,"B",IF(H54&gt;=40,"C",IF(H54&gt;=20,"D","F")))))</f>
        <v>A</v>
      </c>
      <c r="J54" s="6" t="s">
        <v>185</v>
      </c>
    </row>
    <row r="55" customFormat="false" ht="15" hidden="false" customHeight="false" outlineLevel="0" collapsed="false">
      <c r="A55" s="7" t="n">
        <v>54</v>
      </c>
      <c r="B55" s="4" t="s">
        <v>253</v>
      </c>
      <c r="C55" s="15" t="s">
        <v>199</v>
      </c>
      <c r="D55" s="7" t="n">
        <v>0</v>
      </c>
      <c r="E55" s="16" t="n">
        <v>-5</v>
      </c>
      <c r="F55" s="7" t="n">
        <v>0</v>
      </c>
      <c r="G55" s="5" t="n">
        <f aca="false">D55+E55+F55</f>
        <v>-5</v>
      </c>
      <c r="H55" s="5" t="n">
        <f aca="false">MAX(0,MIN(100,ROUND(50+(G55*5),0)))</f>
        <v>25</v>
      </c>
      <c r="I55" s="5" t="str">
        <f aca="false">IF(H55&gt;=90,"A+",IF(H55&gt;=73,"A",IF(H55&gt;=55,"B",IF(H55&gt;=40,"C",IF(H55&gt;=20,"D","F")))))</f>
        <v>D</v>
      </c>
      <c r="J55" s="6" t="s">
        <v>207</v>
      </c>
    </row>
    <row r="56" customFormat="false" ht="15" hidden="false" customHeight="false" outlineLevel="0" collapsed="false">
      <c r="A56" s="7" t="n">
        <v>55</v>
      </c>
      <c r="B56" s="4" t="s">
        <v>254</v>
      </c>
      <c r="C56" s="15" t="s">
        <v>199</v>
      </c>
      <c r="D56" s="7" t="n">
        <v>0</v>
      </c>
      <c r="E56" s="16" t="n">
        <v>-5</v>
      </c>
      <c r="F56" s="7" t="n">
        <v>0</v>
      </c>
      <c r="G56" s="5" t="n">
        <f aca="false">D56+E56+F56</f>
        <v>-5</v>
      </c>
      <c r="H56" s="5" t="n">
        <f aca="false">MAX(0,MIN(100,ROUND(50+(G56*5),0)))</f>
        <v>25</v>
      </c>
      <c r="I56" s="5" t="str">
        <f aca="false">IF(H56&gt;=90,"A+",IF(H56&gt;=73,"A",IF(H56&gt;=55,"B",IF(H56&gt;=40,"C",IF(H56&gt;=20,"D","F")))))</f>
        <v>D</v>
      </c>
      <c r="J56" s="6" t="s">
        <v>207</v>
      </c>
    </row>
    <row r="57" customFormat="false" ht="15" hidden="false" customHeight="false" outlineLevel="0" collapsed="false">
      <c r="A57" s="7" t="n">
        <v>56</v>
      </c>
      <c r="B57" s="4" t="s">
        <v>255</v>
      </c>
      <c r="C57" s="15" t="s">
        <v>199</v>
      </c>
      <c r="D57" s="7" t="n">
        <v>0</v>
      </c>
      <c r="E57" s="16" t="n">
        <v>-5</v>
      </c>
      <c r="F57" s="7" t="n">
        <v>0</v>
      </c>
      <c r="G57" s="5" t="n">
        <f aca="false">D57+E57+F57</f>
        <v>-5</v>
      </c>
      <c r="H57" s="5" t="n">
        <f aca="false">MAX(0,MIN(100,ROUND(50+(G57*5),0)))</f>
        <v>25</v>
      </c>
      <c r="I57" s="5" t="str">
        <f aca="false">IF(H57&gt;=90,"A+",IF(H57&gt;=73,"A",IF(H57&gt;=55,"B",IF(H57&gt;=40,"C",IF(H57&gt;=20,"D","F")))))</f>
        <v>D</v>
      </c>
      <c r="J57" s="6" t="s">
        <v>207</v>
      </c>
    </row>
    <row r="58" customFormat="false" ht="51.75" hidden="false" customHeight="true" outlineLevel="0" collapsed="false">
      <c r="A58" s="7" t="n">
        <v>57</v>
      </c>
      <c r="B58" s="4" t="s">
        <v>256</v>
      </c>
      <c r="C58" s="15" t="s">
        <v>199</v>
      </c>
      <c r="D58" s="7" t="n">
        <v>0</v>
      </c>
      <c r="E58" s="14" t="n">
        <v>5</v>
      </c>
      <c r="F58" s="14" t="n">
        <v>3</v>
      </c>
      <c r="G58" s="5" t="n">
        <f aca="false">D58+E58+F58</f>
        <v>8</v>
      </c>
      <c r="H58" s="5" t="n">
        <f aca="false">MAX(0,MIN(100,ROUND(50+(G58*5),0)))</f>
        <v>90</v>
      </c>
      <c r="I58" s="5" t="str">
        <f aca="false">IF(H58&gt;=90,"A+",IF(H58&gt;=73,"A",IF(H58&gt;=55,"B",IF(H58&gt;=40,"C",IF(H58&gt;=20,"D","F")))))</f>
        <v>A+</v>
      </c>
      <c r="J58" s="6" t="s">
        <v>257</v>
      </c>
    </row>
    <row r="59" customFormat="false" ht="15" hidden="false" customHeight="false" outlineLevel="0" collapsed="false">
      <c r="A59" s="7" t="n">
        <v>58</v>
      </c>
      <c r="B59" s="4" t="s">
        <v>258</v>
      </c>
      <c r="C59" s="13" t="s">
        <v>25</v>
      </c>
      <c r="D59" s="7" t="n">
        <v>0</v>
      </c>
      <c r="E59" s="14" t="n">
        <v>5</v>
      </c>
      <c r="F59" s="7" t="n">
        <v>0</v>
      </c>
      <c r="G59" s="5" t="n">
        <f aca="false">D59+E59+F59</f>
        <v>5</v>
      </c>
      <c r="H59" s="5" t="n">
        <f aca="false">MAX(0,MIN(100,ROUND(50+(G59*5),0)))</f>
        <v>75</v>
      </c>
      <c r="I59" s="5" t="str">
        <f aca="false">IF(H59&gt;=90,"A+",IF(H59&gt;=73,"A",IF(H59&gt;=55,"B",IF(H59&gt;=40,"C",IF(H59&gt;=20,"D","F")))))</f>
        <v>A</v>
      </c>
      <c r="J59" s="6" t="s">
        <v>185</v>
      </c>
    </row>
    <row r="60" customFormat="false" ht="15" hidden="false" customHeight="false" outlineLevel="0" collapsed="false">
      <c r="A60" s="7" t="n">
        <v>59</v>
      </c>
      <c r="B60" s="4" t="s">
        <v>259</v>
      </c>
      <c r="C60" s="15" t="s">
        <v>199</v>
      </c>
      <c r="D60" s="7" t="n">
        <v>0</v>
      </c>
      <c r="E60" s="16" t="n">
        <v>-5</v>
      </c>
      <c r="F60" s="7" t="n">
        <v>0</v>
      </c>
      <c r="G60" s="5" t="n">
        <f aca="false">D60+E60+F60</f>
        <v>-5</v>
      </c>
      <c r="H60" s="5" t="n">
        <f aca="false">MAX(0,MIN(100,ROUND(50+(G60*5),0)))</f>
        <v>25</v>
      </c>
      <c r="I60" s="5" t="str">
        <f aca="false">IF(H60&gt;=90,"A+",IF(H60&gt;=73,"A",IF(H60&gt;=55,"B",IF(H60&gt;=40,"C",IF(H60&gt;=20,"D","F")))))</f>
        <v>D</v>
      </c>
      <c r="J60" s="6" t="s">
        <v>207</v>
      </c>
    </row>
    <row r="61" customFormat="false" ht="15" hidden="false" customHeight="false" outlineLevel="0" collapsed="false">
      <c r="A61" s="7" t="n">
        <v>60</v>
      </c>
      <c r="B61" s="4" t="s">
        <v>260</v>
      </c>
      <c r="C61" s="15" t="s">
        <v>199</v>
      </c>
      <c r="D61" s="7" t="n">
        <v>0</v>
      </c>
      <c r="E61" s="16" t="n">
        <v>-5</v>
      </c>
      <c r="F61" s="7" t="n">
        <v>0</v>
      </c>
      <c r="G61" s="5" t="n">
        <f aca="false">D61+E61+F61</f>
        <v>-5</v>
      </c>
      <c r="H61" s="5" t="n">
        <f aca="false">MAX(0,MIN(100,ROUND(50+(G61*5),0)))</f>
        <v>25</v>
      </c>
      <c r="I61" s="5" t="str">
        <f aca="false">IF(H61&gt;=90,"A+",IF(H61&gt;=73,"A",IF(H61&gt;=55,"B",IF(H61&gt;=40,"C",IF(H61&gt;=20,"D","F")))))</f>
        <v>D</v>
      </c>
      <c r="J61" s="6" t="s">
        <v>207</v>
      </c>
    </row>
    <row r="62" customFormat="false" ht="25.5" hidden="false" customHeight="true" outlineLevel="0" collapsed="false">
      <c r="A62" s="7" t="n">
        <v>61</v>
      </c>
      <c r="B62" s="4" t="s">
        <v>261</v>
      </c>
      <c r="C62" s="15" t="s">
        <v>199</v>
      </c>
      <c r="D62" s="16" t="n">
        <v>-6</v>
      </c>
      <c r="E62" s="16" t="n">
        <v>-5</v>
      </c>
      <c r="F62" s="16" t="n">
        <v>-2</v>
      </c>
      <c r="G62" s="5" t="n">
        <f aca="false">D62+E62+F62</f>
        <v>-13</v>
      </c>
      <c r="H62" s="5" t="n">
        <f aca="false">MAX(0,MIN(100,ROUND(50+(G62*5),0)))</f>
        <v>0</v>
      </c>
      <c r="I62" s="5" t="str">
        <f aca="false">IF(H62&gt;=90,"A+",IF(H62&gt;=73,"A",IF(H62&gt;=55,"B",IF(H62&gt;=40,"C",IF(H62&gt;=20,"D","F")))))</f>
        <v>F</v>
      </c>
      <c r="J62" s="6" t="s">
        <v>262</v>
      </c>
    </row>
    <row r="63" customFormat="false" ht="15" hidden="false" customHeight="false" outlineLevel="0" collapsed="false">
      <c r="A63" s="7" t="n">
        <v>62</v>
      </c>
      <c r="B63" s="4" t="s">
        <v>263</v>
      </c>
      <c r="C63" s="15" t="s">
        <v>199</v>
      </c>
      <c r="D63" s="7" t="n">
        <v>0</v>
      </c>
      <c r="E63" s="16" t="n">
        <v>-5</v>
      </c>
      <c r="F63" s="7" t="n">
        <v>0</v>
      </c>
      <c r="G63" s="5" t="n">
        <f aca="false">D63+E63+F63</f>
        <v>-5</v>
      </c>
      <c r="H63" s="5" t="n">
        <f aca="false">MAX(0,MIN(100,ROUND(50+(G63*5),0)))</f>
        <v>25</v>
      </c>
      <c r="I63" s="5" t="str">
        <f aca="false">IF(H63&gt;=90,"A+",IF(H63&gt;=73,"A",IF(H63&gt;=55,"B",IF(H63&gt;=40,"C",IF(H63&gt;=20,"D","F")))))</f>
        <v>D</v>
      </c>
      <c r="J63" s="6" t="s">
        <v>207</v>
      </c>
    </row>
    <row r="64" customFormat="false" ht="25.5" hidden="false" customHeight="true" outlineLevel="0" collapsed="false">
      <c r="A64" s="7" t="n">
        <v>63</v>
      </c>
      <c r="B64" s="4" t="s">
        <v>264</v>
      </c>
      <c r="C64" s="15" t="s">
        <v>199</v>
      </c>
      <c r="D64" s="7" t="n">
        <v>0</v>
      </c>
      <c r="E64" s="16" t="n">
        <v>-5</v>
      </c>
      <c r="F64" s="7" t="n">
        <v>0</v>
      </c>
      <c r="G64" s="5" t="n">
        <f aca="false">D64+E64+F64</f>
        <v>-5</v>
      </c>
      <c r="H64" s="5" t="n">
        <f aca="false">MAX(0,MIN(100,ROUND(50+(G64*5),0)))</f>
        <v>25</v>
      </c>
      <c r="I64" s="5" t="str">
        <f aca="false">IF(H64&gt;=90,"A+",IF(H64&gt;=73,"A",IF(H64&gt;=55,"B",IF(H64&gt;=40,"C",IF(H64&gt;=20,"D","F")))))</f>
        <v>D</v>
      </c>
      <c r="J64" s="6" t="s">
        <v>265</v>
      </c>
    </row>
    <row r="65" customFormat="false" ht="15" hidden="false" customHeight="false" outlineLevel="0" collapsed="false">
      <c r="A65" s="7" t="n">
        <v>64</v>
      </c>
      <c r="B65" s="4" t="s">
        <v>266</v>
      </c>
      <c r="C65" s="15" t="s">
        <v>199</v>
      </c>
      <c r="D65" s="7" t="n">
        <v>0</v>
      </c>
      <c r="E65" s="16" t="n">
        <v>-5</v>
      </c>
      <c r="F65" s="7" t="n">
        <v>0</v>
      </c>
      <c r="G65" s="5" t="n">
        <f aca="false">D65+E65+F65</f>
        <v>-5</v>
      </c>
      <c r="H65" s="5" t="n">
        <f aca="false">MAX(0,MIN(100,ROUND(50+(G65*5),0)))</f>
        <v>25</v>
      </c>
      <c r="I65" s="5" t="str">
        <f aca="false">IF(H65&gt;=90,"A+",IF(H65&gt;=73,"A",IF(H65&gt;=55,"B",IF(H65&gt;=40,"C",IF(H65&gt;=20,"D","F")))))</f>
        <v>D</v>
      </c>
      <c r="J65" s="6" t="s">
        <v>207</v>
      </c>
    </row>
    <row r="66" customFormat="false" ht="15" hidden="false" customHeight="false" outlineLevel="0" collapsed="false">
      <c r="A66" s="7" t="n">
        <v>65</v>
      </c>
      <c r="B66" s="4" t="s">
        <v>267</v>
      </c>
      <c r="C66" s="15" t="s">
        <v>199</v>
      </c>
      <c r="D66" s="7" t="n">
        <v>0</v>
      </c>
      <c r="E66" s="16" t="n">
        <v>-5</v>
      </c>
      <c r="F66" s="7" t="n">
        <v>0</v>
      </c>
      <c r="G66" s="5" t="n">
        <f aca="false">D66+E66+F66</f>
        <v>-5</v>
      </c>
      <c r="H66" s="5" t="n">
        <f aca="false">MAX(0,MIN(100,ROUND(50+(G66*5),0)))</f>
        <v>25</v>
      </c>
      <c r="I66" s="5" t="str">
        <f aca="false">IF(H66&gt;=90,"A+",IF(H66&gt;=73,"A",IF(H66&gt;=55,"B",IF(H66&gt;=40,"C",IF(H66&gt;=20,"D","F")))))</f>
        <v>D</v>
      </c>
      <c r="J66" s="6" t="s">
        <v>207</v>
      </c>
    </row>
    <row r="67" customFormat="false" ht="15" hidden="false" customHeight="false" outlineLevel="0" collapsed="false">
      <c r="A67" s="7" t="n">
        <v>66</v>
      </c>
      <c r="B67" s="4" t="s">
        <v>268</v>
      </c>
      <c r="C67" s="15" t="s">
        <v>199</v>
      </c>
      <c r="D67" s="7" t="n">
        <v>0</v>
      </c>
      <c r="E67" s="16" t="n">
        <v>-5</v>
      </c>
      <c r="F67" s="7" t="n">
        <v>0</v>
      </c>
      <c r="G67" s="5" t="n">
        <f aca="false">D67+E67+F67</f>
        <v>-5</v>
      </c>
      <c r="H67" s="5" t="n">
        <f aca="false">MAX(0,MIN(100,ROUND(50+(G67*5),0)))</f>
        <v>25</v>
      </c>
      <c r="I67" s="5" t="str">
        <f aca="false">IF(H67&gt;=90,"A+",IF(H67&gt;=73,"A",IF(H67&gt;=55,"B",IF(H67&gt;=40,"C",IF(H67&gt;=20,"D","F")))))</f>
        <v>D</v>
      </c>
      <c r="J67" s="6" t="s">
        <v>207</v>
      </c>
    </row>
    <row r="68" customFormat="false" ht="15" hidden="false" customHeight="false" outlineLevel="0" collapsed="false">
      <c r="A68" s="7" t="n">
        <v>67</v>
      </c>
      <c r="B68" s="4" t="s">
        <v>269</v>
      </c>
      <c r="C68" s="15" t="s">
        <v>199</v>
      </c>
      <c r="D68" s="7" t="n">
        <v>0</v>
      </c>
      <c r="E68" s="16" t="n">
        <v>-5</v>
      </c>
      <c r="F68" s="7" t="n">
        <v>0</v>
      </c>
      <c r="G68" s="5" t="n">
        <f aca="false">D68+E68+F68</f>
        <v>-5</v>
      </c>
      <c r="H68" s="5" t="n">
        <f aca="false">MAX(0,MIN(100,ROUND(50+(G68*5),0)))</f>
        <v>25</v>
      </c>
      <c r="I68" s="5" t="str">
        <f aca="false">IF(H68&gt;=90,"A+",IF(H68&gt;=73,"A",IF(H68&gt;=55,"B",IF(H68&gt;=40,"C",IF(H68&gt;=20,"D","F")))))</f>
        <v>D</v>
      </c>
      <c r="J68" s="6" t="s">
        <v>207</v>
      </c>
    </row>
    <row r="69" customFormat="false" ht="15" hidden="false" customHeight="false" outlineLevel="0" collapsed="false">
      <c r="A69" s="7" t="n">
        <v>68</v>
      </c>
      <c r="B69" s="4" t="s">
        <v>270</v>
      </c>
      <c r="C69" s="15" t="s">
        <v>199</v>
      </c>
      <c r="D69" s="7" t="n">
        <v>0</v>
      </c>
      <c r="E69" s="16" t="n">
        <v>-5</v>
      </c>
      <c r="F69" s="7" t="n">
        <v>0</v>
      </c>
      <c r="G69" s="5" t="n">
        <f aca="false">D69+E69+F69</f>
        <v>-5</v>
      </c>
      <c r="H69" s="5" t="n">
        <f aca="false">MAX(0,MIN(100,ROUND(50+(G69*5),0)))</f>
        <v>25</v>
      </c>
      <c r="I69" s="5" t="str">
        <f aca="false">IF(H69&gt;=90,"A+",IF(H69&gt;=73,"A",IF(H69&gt;=55,"B",IF(H69&gt;=40,"C",IF(H69&gt;=20,"D","F")))))</f>
        <v>D</v>
      </c>
      <c r="J69" s="6" t="s">
        <v>207</v>
      </c>
    </row>
    <row r="70" customFormat="false" ht="15" hidden="false" customHeight="false" outlineLevel="0" collapsed="false">
      <c r="A70" s="7" t="n">
        <v>69</v>
      </c>
      <c r="B70" s="4" t="s">
        <v>271</v>
      </c>
      <c r="C70" s="15" t="s">
        <v>199</v>
      </c>
      <c r="D70" s="7" t="n">
        <v>0</v>
      </c>
      <c r="E70" s="16" t="n">
        <v>-5</v>
      </c>
      <c r="F70" s="7" t="n">
        <v>0</v>
      </c>
      <c r="G70" s="5" t="n">
        <f aca="false">D70+E70+F70</f>
        <v>-5</v>
      </c>
      <c r="H70" s="5" t="n">
        <f aca="false">MAX(0,MIN(100,ROUND(50+(G70*5),0)))</f>
        <v>25</v>
      </c>
      <c r="I70" s="5" t="str">
        <f aca="false">IF(H70&gt;=90,"A+",IF(H70&gt;=73,"A",IF(H70&gt;=55,"B",IF(H70&gt;=40,"C",IF(H70&gt;=20,"D","F")))))</f>
        <v>D</v>
      </c>
      <c r="J70" s="6" t="s">
        <v>207</v>
      </c>
    </row>
    <row r="71" customFormat="false" ht="15" hidden="false" customHeight="false" outlineLevel="0" collapsed="false">
      <c r="A71" s="7" t="n">
        <v>70</v>
      </c>
      <c r="B71" s="4" t="s">
        <v>272</v>
      </c>
      <c r="C71" s="15" t="s">
        <v>199</v>
      </c>
      <c r="D71" s="7" t="n">
        <v>0</v>
      </c>
      <c r="E71" s="16" t="n">
        <v>-5</v>
      </c>
      <c r="F71" s="7" t="n">
        <v>0</v>
      </c>
      <c r="G71" s="5" t="n">
        <f aca="false">D71+E71+F71</f>
        <v>-5</v>
      </c>
      <c r="H71" s="5" t="n">
        <f aca="false">MAX(0,MIN(100,ROUND(50+(G71*5),0)))</f>
        <v>25</v>
      </c>
      <c r="I71" s="5" t="str">
        <f aca="false">IF(H71&gt;=90,"A+",IF(H71&gt;=73,"A",IF(H71&gt;=55,"B",IF(H71&gt;=40,"C",IF(H71&gt;=20,"D","F")))))</f>
        <v>D</v>
      </c>
      <c r="J71" s="6" t="s">
        <v>207</v>
      </c>
    </row>
    <row r="72" customFormat="false" ht="15" hidden="false" customHeight="false" outlineLevel="0" collapsed="false">
      <c r="A72" s="7" t="n">
        <v>71</v>
      </c>
      <c r="B72" s="4" t="s">
        <v>273</v>
      </c>
      <c r="C72" s="15" t="s">
        <v>199</v>
      </c>
      <c r="D72" s="7" t="n">
        <v>0</v>
      </c>
      <c r="E72" s="16" t="n">
        <v>-5</v>
      </c>
      <c r="F72" s="7" t="n">
        <v>0</v>
      </c>
      <c r="G72" s="5" t="n">
        <f aca="false">D72+E72+F72</f>
        <v>-5</v>
      </c>
      <c r="H72" s="5" t="n">
        <f aca="false">MAX(0,MIN(100,ROUND(50+(G72*5),0)))</f>
        <v>25</v>
      </c>
      <c r="I72" s="5" t="str">
        <f aca="false">IF(H72&gt;=90,"A+",IF(H72&gt;=73,"A",IF(H72&gt;=55,"B",IF(H72&gt;=40,"C",IF(H72&gt;=20,"D","F")))))</f>
        <v>D</v>
      </c>
      <c r="J72" s="6" t="s">
        <v>207</v>
      </c>
    </row>
    <row r="73" customFormat="false" ht="15" hidden="false" customHeight="false" outlineLevel="0" collapsed="false">
      <c r="A73" s="7" t="n">
        <v>72</v>
      </c>
      <c r="B73" s="4" t="s">
        <v>274</v>
      </c>
      <c r="C73" s="15" t="s">
        <v>199</v>
      </c>
      <c r="D73" s="7" t="n">
        <v>0</v>
      </c>
      <c r="E73" s="16" t="n">
        <v>-5</v>
      </c>
      <c r="F73" s="7" t="n">
        <v>0</v>
      </c>
      <c r="G73" s="5" t="n">
        <f aca="false">D73+E73+F73</f>
        <v>-5</v>
      </c>
      <c r="H73" s="5" t="n">
        <f aca="false">MAX(0,MIN(100,ROUND(50+(G73*5),0)))</f>
        <v>25</v>
      </c>
      <c r="I73" s="5" t="str">
        <f aca="false">IF(H73&gt;=90,"A+",IF(H73&gt;=73,"A",IF(H73&gt;=55,"B",IF(H73&gt;=40,"C",IF(H73&gt;=20,"D","F")))))</f>
        <v>D</v>
      </c>
      <c r="J73" s="6" t="s">
        <v>207</v>
      </c>
    </row>
    <row r="74" customFormat="false" ht="15" hidden="false" customHeight="false" outlineLevel="0" collapsed="false">
      <c r="A74" s="7" t="n">
        <v>73</v>
      </c>
      <c r="B74" s="4" t="s">
        <v>275</v>
      </c>
      <c r="C74" s="15" t="s">
        <v>199</v>
      </c>
      <c r="D74" s="7" t="n">
        <v>0</v>
      </c>
      <c r="E74" s="16" t="n">
        <v>-5</v>
      </c>
      <c r="F74" s="7" t="n">
        <v>0</v>
      </c>
      <c r="G74" s="5" t="n">
        <f aca="false">D74+E74+F74</f>
        <v>-5</v>
      </c>
      <c r="H74" s="5" t="n">
        <f aca="false">MAX(0,MIN(100,ROUND(50+(G74*5),0)))</f>
        <v>25</v>
      </c>
      <c r="I74" s="5" t="str">
        <f aca="false">IF(H74&gt;=90,"A+",IF(H74&gt;=73,"A",IF(H74&gt;=55,"B",IF(H74&gt;=40,"C",IF(H74&gt;=20,"D","F")))))</f>
        <v>D</v>
      </c>
      <c r="J74" s="6" t="s">
        <v>207</v>
      </c>
    </row>
    <row r="75" customFormat="false" ht="15" hidden="false" customHeight="false" outlineLevel="0" collapsed="false">
      <c r="A75" s="7" t="n">
        <v>74</v>
      </c>
      <c r="B75" s="4" t="s">
        <v>276</v>
      </c>
      <c r="C75" s="15" t="s">
        <v>199</v>
      </c>
      <c r="D75" s="7" t="n">
        <v>0</v>
      </c>
      <c r="E75" s="16" t="n">
        <v>-5</v>
      </c>
      <c r="F75" s="7" t="n">
        <v>0</v>
      </c>
      <c r="G75" s="5" t="n">
        <f aca="false">D75+E75+F75</f>
        <v>-5</v>
      </c>
      <c r="H75" s="5" t="n">
        <f aca="false">MAX(0,MIN(100,ROUND(50+(G75*5),0)))</f>
        <v>25</v>
      </c>
      <c r="I75" s="5" t="str">
        <f aca="false">IF(H75&gt;=90,"A+",IF(H75&gt;=73,"A",IF(H75&gt;=55,"B",IF(H75&gt;=40,"C",IF(H75&gt;=20,"D","F")))))</f>
        <v>D</v>
      </c>
      <c r="J75" s="6" t="s">
        <v>207</v>
      </c>
    </row>
    <row r="76" customFormat="false" ht="15" hidden="false" customHeight="false" outlineLevel="0" collapsed="false">
      <c r="A76" s="7" t="n">
        <v>75</v>
      </c>
      <c r="B76" s="4" t="s">
        <v>277</v>
      </c>
      <c r="C76" s="15" t="s">
        <v>199</v>
      </c>
      <c r="D76" s="7" t="n">
        <v>0</v>
      </c>
      <c r="E76" s="16" t="n">
        <v>-5</v>
      </c>
      <c r="F76" s="7" t="n">
        <v>0</v>
      </c>
      <c r="G76" s="5" t="n">
        <f aca="false">D76+E76+F76</f>
        <v>-5</v>
      </c>
      <c r="H76" s="5" t="n">
        <f aca="false">MAX(0,MIN(100,ROUND(50+(G76*5),0)))</f>
        <v>25</v>
      </c>
      <c r="I76" s="5" t="str">
        <f aca="false">IF(H76&gt;=90,"A+",IF(H76&gt;=73,"A",IF(H76&gt;=55,"B",IF(H76&gt;=40,"C",IF(H76&gt;=20,"D","F")))))</f>
        <v>D</v>
      </c>
      <c r="J76" s="6" t="s">
        <v>207</v>
      </c>
    </row>
    <row r="77" customFormat="false" ht="15" hidden="false" customHeight="false" outlineLevel="0" collapsed="false">
      <c r="A77" s="7" t="n">
        <v>76</v>
      </c>
      <c r="B77" s="4" t="s">
        <v>278</v>
      </c>
      <c r="C77" s="15" t="s">
        <v>199</v>
      </c>
      <c r="D77" s="7" t="n">
        <v>0</v>
      </c>
      <c r="E77" s="16" t="n">
        <v>-5</v>
      </c>
      <c r="F77" s="7" t="n">
        <v>0</v>
      </c>
      <c r="G77" s="5" t="n">
        <f aca="false">D77+E77+F77</f>
        <v>-5</v>
      </c>
      <c r="H77" s="5" t="n">
        <f aca="false">MAX(0,MIN(100,ROUND(50+(G77*5),0)))</f>
        <v>25</v>
      </c>
      <c r="I77" s="5" t="str">
        <f aca="false">IF(H77&gt;=90,"A+",IF(H77&gt;=73,"A",IF(H77&gt;=55,"B",IF(H77&gt;=40,"C",IF(H77&gt;=20,"D","F")))))</f>
        <v>D</v>
      </c>
      <c r="J77" s="6" t="s">
        <v>207</v>
      </c>
    </row>
    <row r="78" customFormat="false" ht="15" hidden="false" customHeight="false" outlineLevel="0" collapsed="false">
      <c r="A78" s="7" t="n">
        <v>77</v>
      </c>
      <c r="B78" s="4" t="s">
        <v>279</v>
      </c>
      <c r="C78" s="15" t="s">
        <v>199</v>
      </c>
      <c r="D78" s="7" t="n">
        <v>0</v>
      </c>
      <c r="E78" s="16" t="n">
        <v>-5</v>
      </c>
      <c r="F78" s="7" t="n">
        <v>0</v>
      </c>
      <c r="G78" s="5" t="n">
        <f aca="false">D78+E78+F78</f>
        <v>-5</v>
      </c>
      <c r="H78" s="5" t="n">
        <f aca="false">MAX(0,MIN(100,ROUND(50+(G78*5),0)))</f>
        <v>25</v>
      </c>
      <c r="I78" s="5" t="str">
        <f aca="false">IF(H78&gt;=90,"A+",IF(H78&gt;=73,"A",IF(H78&gt;=55,"B",IF(H78&gt;=40,"C",IF(H78&gt;=20,"D","F")))))</f>
        <v>D</v>
      </c>
      <c r="J78" s="6" t="s">
        <v>207</v>
      </c>
    </row>
    <row r="79" customFormat="false" ht="25.5" hidden="false" customHeight="true" outlineLevel="0" collapsed="false">
      <c r="A79" s="7" t="n">
        <v>78</v>
      </c>
      <c r="B79" s="4" t="s">
        <v>280</v>
      </c>
      <c r="C79" s="15" t="s">
        <v>199</v>
      </c>
      <c r="D79" s="7" t="n">
        <v>0</v>
      </c>
      <c r="E79" s="16" t="n">
        <v>-5</v>
      </c>
      <c r="F79" s="16" t="n">
        <v>-1</v>
      </c>
      <c r="G79" s="5" t="n">
        <f aca="false">D79+E79+F79</f>
        <v>-6</v>
      </c>
      <c r="H79" s="5" t="n">
        <f aca="false">MAX(0,MIN(100,ROUND(50+(G79*5),0)))</f>
        <v>20</v>
      </c>
      <c r="I79" s="5" t="str">
        <f aca="false">IF(H79&gt;=90,"A+",IF(H79&gt;=73,"A",IF(H79&gt;=55,"B",IF(H79&gt;=40,"C",IF(H79&gt;=20,"D","F")))))</f>
        <v>D</v>
      </c>
      <c r="J79" s="6" t="s">
        <v>281</v>
      </c>
    </row>
    <row r="80" customFormat="false" ht="15" hidden="false" customHeight="false" outlineLevel="0" collapsed="false">
      <c r="A80" s="7" t="n">
        <v>79</v>
      </c>
      <c r="B80" s="4" t="s">
        <v>282</v>
      </c>
      <c r="C80" s="15" t="s">
        <v>199</v>
      </c>
      <c r="D80" s="7" t="n">
        <v>0</v>
      </c>
      <c r="E80" s="16" t="n">
        <v>-5</v>
      </c>
      <c r="F80" s="7" t="n">
        <v>0</v>
      </c>
      <c r="G80" s="5" t="n">
        <f aca="false">D80+E80+F80</f>
        <v>-5</v>
      </c>
      <c r="H80" s="5" t="n">
        <f aca="false">MAX(0,MIN(100,ROUND(50+(G80*5),0)))</f>
        <v>25</v>
      </c>
      <c r="I80" s="5" t="str">
        <f aca="false">IF(H80&gt;=90,"A+",IF(H80&gt;=73,"A",IF(H80&gt;=55,"B",IF(H80&gt;=40,"C",IF(H80&gt;=20,"D","F")))))</f>
        <v>D</v>
      </c>
      <c r="J80" s="6" t="s">
        <v>207</v>
      </c>
    </row>
    <row r="81" customFormat="false" ht="39" hidden="false" customHeight="true" outlineLevel="0" collapsed="false">
      <c r="A81" s="7" t="n">
        <v>80</v>
      </c>
      <c r="B81" s="4" t="s">
        <v>283</v>
      </c>
      <c r="C81" s="15" t="s">
        <v>199</v>
      </c>
      <c r="D81" s="16" t="n">
        <v>-6</v>
      </c>
      <c r="E81" s="16" t="n">
        <v>-5</v>
      </c>
      <c r="F81" s="16" t="n">
        <v>-2</v>
      </c>
      <c r="G81" s="5" t="n">
        <f aca="false">D81+E81+F81</f>
        <v>-13</v>
      </c>
      <c r="H81" s="5" t="n">
        <f aca="false">MAX(0,MIN(100,ROUND(50+(G81*5),0)))</f>
        <v>0</v>
      </c>
      <c r="I81" s="5" t="str">
        <f aca="false">IF(H81&gt;=90,"A+",IF(H81&gt;=73,"A",IF(H81&gt;=55,"B",IF(H81&gt;=40,"C",IF(H81&gt;=20,"D","F")))))</f>
        <v>F</v>
      </c>
      <c r="J81" s="6" t="s">
        <v>284</v>
      </c>
    </row>
    <row r="82" customFormat="false" ht="15" hidden="false" customHeight="false" outlineLevel="0" collapsed="false">
      <c r="A82" s="7" t="n">
        <v>81</v>
      </c>
      <c r="B82" s="4" t="s">
        <v>285</v>
      </c>
      <c r="C82" s="15" t="s">
        <v>199</v>
      </c>
      <c r="D82" s="7" t="n">
        <v>0</v>
      </c>
      <c r="E82" s="16" t="n">
        <v>-5</v>
      </c>
      <c r="F82" s="7" t="n">
        <v>0</v>
      </c>
      <c r="G82" s="5" t="n">
        <f aca="false">D82+E82+F82</f>
        <v>-5</v>
      </c>
      <c r="H82" s="5" t="n">
        <f aca="false">MAX(0,MIN(100,ROUND(50+(G82*5),0)))</f>
        <v>25</v>
      </c>
      <c r="I82" s="5" t="str">
        <f aca="false">IF(H82&gt;=90,"A+",IF(H82&gt;=73,"A",IF(H82&gt;=55,"B",IF(H82&gt;=40,"C",IF(H82&gt;=20,"D","F")))))</f>
        <v>D</v>
      </c>
      <c r="J82" s="6" t="s">
        <v>207</v>
      </c>
    </row>
    <row r="83" customFormat="false" ht="15" hidden="false" customHeight="false" outlineLevel="0" collapsed="false">
      <c r="A83" s="7" t="n">
        <v>82</v>
      </c>
      <c r="B83" s="4" t="s">
        <v>286</v>
      </c>
      <c r="C83" s="15" t="s">
        <v>199</v>
      </c>
      <c r="D83" s="7" t="n">
        <v>0</v>
      </c>
      <c r="E83" s="16" t="n">
        <v>-5</v>
      </c>
      <c r="F83" s="7" t="n">
        <v>0</v>
      </c>
      <c r="G83" s="5" t="n">
        <f aca="false">D83+E83+F83</f>
        <v>-5</v>
      </c>
      <c r="H83" s="5" t="n">
        <f aca="false">MAX(0,MIN(100,ROUND(50+(G83*5),0)))</f>
        <v>25</v>
      </c>
      <c r="I83" s="5" t="str">
        <f aca="false">IF(H83&gt;=90,"A+",IF(H83&gt;=73,"A",IF(H83&gt;=55,"B",IF(H83&gt;=40,"C",IF(H83&gt;=20,"D","F")))))</f>
        <v>D</v>
      </c>
      <c r="J83" s="6" t="s">
        <v>207</v>
      </c>
    </row>
    <row r="84" customFormat="false" ht="15" hidden="false" customHeight="false" outlineLevel="0" collapsed="false">
      <c r="A84" s="7" t="n">
        <v>83</v>
      </c>
      <c r="B84" s="4" t="s">
        <v>287</v>
      </c>
      <c r="C84" s="15" t="s">
        <v>199</v>
      </c>
      <c r="D84" s="7" t="n">
        <v>0</v>
      </c>
      <c r="E84" s="16" t="n">
        <v>-5</v>
      </c>
      <c r="F84" s="7" t="n">
        <v>0</v>
      </c>
      <c r="G84" s="5" t="n">
        <f aca="false">D84+E84+F84</f>
        <v>-5</v>
      </c>
      <c r="H84" s="5" t="n">
        <f aca="false">MAX(0,MIN(100,ROUND(50+(G84*5),0)))</f>
        <v>25</v>
      </c>
      <c r="I84" s="5" t="str">
        <f aca="false">IF(H84&gt;=90,"A+",IF(H84&gt;=73,"A",IF(H84&gt;=55,"B",IF(H84&gt;=40,"C",IF(H84&gt;=20,"D","F")))))</f>
        <v>D</v>
      </c>
      <c r="J84" s="6" t="s">
        <v>207</v>
      </c>
    </row>
    <row r="85" customFormat="false" ht="25.5" hidden="false" customHeight="true" outlineLevel="0" collapsed="false">
      <c r="A85" s="7" t="n">
        <v>84</v>
      </c>
      <c r="B85" s="4" t="s">
        <v>288</v>
      </c>
      <c r="C85" s="15" t="s">
        <v>199</v>
      </c>
      <c r="D85" s="16" t="n">
        <v>-6</v>
      </c>
      <c r="E85" s="16" t="n">
        <v>-5</v>
      </c>
      <c r="F85" s="16" t="n">
        <v>-2</v>
      </c>
      <c r="G85" s="5" t="n">
        <f aca="false">D85+E85+F85</f>
        <v>-13</v>
      </c>
      <c r="H85" s="5" t="n">
        <f aca="false">MAX(0,MIN(100,ROUND(50+(G85*5),0)))</f>
        <v>0</v>
      </c>
      <c r="I85" s="5" t="str">
        <f aca="false">IF(H85&gt;=90,"A+",IF(H85&gt;=73,"A",IF(H85&gt;=55,"B",IF(H85&gt;=40,"C",IF(H85&gt;=20,"D","F")))))</f>
        <v>F</v>
      </c>
      <c r="J85" s="6" t="s">
        <v>289</v>
      </c>
    </row>
    <row r="86" customFormat="false" ht="15" hidden="false" customHeight="false" outlineLevel="0" collapsed="false">
      <c r="A86" s="7" t="n">
        <v>85</v>
      </c>
      <c r="B86" s="4" t="s">
        <v>290</v>
      </c>
      <c r="C86" s="15" t="s">
        <v>199</v>
      </c>
      <c r="D86" s="7" t="n">
        <v>0</v>
      </c>
      <c r="E86" s="16" t="n">
        <v>-5</v>
      </c>
      <c r="F86" s="7" t="n">
        <v>0</v>
      </c>
      <c r="G86" s="5" t="n">
        <f aca="false">D86+E86+F86</f>
        <v>-5</v>
      </c>
      <c r="H86" s="5" t="n">
        <f aca="false">MAX(0,MIN(100,ROUND(50+(G86*5),0)))</f>
        <v>25</v>
      </c>
      <c r="I86" s="5" t="str">
        <f aca="false">IF(H86&gt;=90,"A+",IF(H86&gt;=73,"A",IF(H86&gt;=55,"B",IF(H86&gt;=40,"C",IF(H86&gt;=20,"D","F")))))</f>
        <v>D</v>
      </c>
      <c r="J86" s="6" t="s">
        <v>207</v>
      </c>
    </row>
    <row r="87" customFormat="false" ht="15" hidden="false" customHeight="false" outlineLevel="0" collapsed="false">
      <c r="A87" s="7" t="n">
        <v>86</v>
      </c>
      <c r="B87" s="4" t="s">
        <v>291</v>
      </c>
      <c r="C87" s="15" t="s">
        <v>199</v>
      </c>
      <c r="D87" s="7" t="n">
        <v>0</v>
      </c>
      <c r="E87" s="16" t="n">
        <v>-5</v>
      </c>
      <c r="F87" s="7" t="n">
        <v>0</v>
      </c>
      <c r="G87" s="5" t="n">
        <f aca="false">D87+E87+F87</f>
        <v>-5</v>
      </c>
      <c r="H87" s="5" t="n">
        <f aca="false">MAX(0,MIN(100,ROUND(50+(G87*5),0)))</f>
        <v>25</v>
      </c>
      <c r="I87" s="5" t="str">
        <f aca="false">IF(H87&gt;=90,"A+",IF(H87&gt;=73,"A",IF(H87&gt;=55,"B",IF(H87&gt;=40,"C",IF(H87&gt;=20,"D","F")))))</f>
        <v>D</v>
      </c>
      <c r="J87" s="6" t="s">
        <v>207</v>
      </c>
    </row>
    <row r="88" customFormat="false" ht="15" hidden="false" customHeight="false" outlineLevel="0" collapsed="false">
      <c r="A88" s="7" t="n">
        <v>87</v>
      </c>
      <c r="B88" s="4" t="s">
        <v>292</v>
      </c>
      <c r="C88" s="15" t="s">
        <v>199</v>
      </c>
      <c r="D88" s="7" t="n">
        <v>0</v>
      </c>
      <c r="E88" s="16" t="n">
        <v>-5</v>
      </c>
      <c r="F88" s="7" t="n">
        <v>0</v>
      </c>
      <c r="G88" s="5" t="n">
        <f aca="false">D88+E88+F88</f>
        <v>-5</v>
      </c>
      <c r="H88" s="5" t="n">
        <f aca="false">MAX(0,MIN(100,ROUND(50+(G88*5),0)))</f>
        <v>25</v>
      </c>
      <c r="I88" s="5" t="str">
        <f aca="false">IF(H88&gt;=90,"A+",IF(H88&gt;=73,"A",IF(H88&gt;=55,"B",IF(H88&gt;=40,"C",IF(H88&gt;=20,"D","F")))))</f>
        <v>D</v>
      </c>
      <c r="J88" s="6" t="s">
        <v>207</v>
      </c>
    </row>
    <row r="89" customFormat="false" ht="51.75" hidden="false" customHeight="true" outlineLevel="0" collapsed="false">
      <c r="A89" s="7" t="n">
        <v>88</v>
      </c>
      <c r="B89" s="4" t="s">
        <v>293</v>
      </c>
      <c r="C89" s="15" t="s">
        <v>199</v>
      </c>
      <c r="D89" s="16" t="n">
        <v>-6</v>
      </c>
      <c r="E89" s="16" t="n">
        <v>-5</v>
      </c>
      <c r="F89" s="16" t="n">
        <v>-3</v>
      </c>
      <c r="G89" s="5" t="n">
        <f aca="false">D89+E89+F89</f>
        <v>-14</v>
      </c>
      <c r="H89" s="5" t="n">
        <f aca="false">MAX(0,MIN(100,ROUND(50+(G89*5),0)))</f>
        <v>0</v>
      </c>
      <c r="I89" s="5" t="str">
        <f aca="false">IF(H89&gt;=90,"A+",IF(H89&gt;=73,"A",IF(H89&gt;=55,"B",IF(H89&gt;=40,"C",IF(H89&gt;=20,"D","F")))))</f>
        <v>F</v>
      </c>
      <c r="J89" s="6" t="s">
        <v>294</v>
      </c>
    </row>
    <row r="90" customFormat="false" ht="15" hidden="false" customHeight="false" outlineLevel="0" collapsed="false">
      <c r="A90" s="7" t="n">
        <v>89</v>
      </c>
      <c r="B90" s="4" t="s">
        <v>295</v>
      </c>
      <c r="C90" s="15" t="s">
        <v>199</v>
      </c>
      <c r="D90" s="7" t="n">
        <v>0</v>
      </c>
      <c r="E90" s="16" t="n">
        <v>-5</v>
      </c>
      <c r="F90" s="7" t="n">
        <v>0</v>
      </c>
      <c r="G90" s="5" t="n">
        <f aca="false">D90+E90+F90</f>
        <v>-5</v>
      </c>
      <c r="H90" s="5" t="n">
        <f aca="false">MAX(0,MIN(100,ROUND(50+(G90*5),0)))</f>
        <v>25</v>
      </c>
      <c r="I90" s="5" t="str">
        <f aca="false">IF(H90&gt;=90,"A+",IF(H90&gt;=73,"A",IF(H90&gt;=55,"B",IF(H90&gt;=40,"C",IF(H90&gt;=20,"D","F")))))</f>
        <v>D</v>
      </c>
      <c r="J90" s="6" t="s">
        <v>207</v>
      </c>
    </row>
    <row r="91" customFormat="false" ht="15" hidden="false" customHeight="false" outlineLevel="0" collapsed="false">
      <c r="A91" s="7" t="n">
        <v>90</v>
      </c>
      <c r="B91" s="4" t="s">
        <v>296</v>
      </c>
      <c r="C91" s="15" t="s">
        <v>199</v>
      </c>
      <c r="D91" s="7" t="n">
        <v>0</v>
      </c>
      <c r="E91" s="16" t="n">
        <v>-5</v>
      </c>
      <c r="F91" s="7" t="n">
        <v>0</v>
      </c>
      <c r="G91" s="5" t="n">
        <f aca="false">D91+E91+F91</f>
        <v>-5</v>
      </c>
      <c r="H91" s="5" t="n">
        <f aca="false">MAX(0,MIN(100,ROUND(50+(G91*5),0)))</f>
        <v>25</v>
      </c>
      <c r="I91" s="5" t="str">
        <f aca="false">IF(H91&gt;=90,"A+",IF(H91&gt;=73,"A",IF(H91&gt;=55,"B",IF(H91&gt;=40,"C",IF(H91&gt;=20,"D","F")))))</f>
        <v>D</v>
      </c>
      <c r="J91" s="6" t="s">
        <v>207</v>
      </c>
    </row>
    <row r="92" customFormat="false" ht="15" hidden="false" customHeight="false" outlineLevel="0" collapsed="false">
      <c r="A92" s="7" t="n">
        <v>91</v>
      </c>
      <c r="B92" s="4" t="s">
        <v>297</v>
      </c>
      <c r="C92" s="15" t="s">
        <v>199</v>
      </c>
      <c r="D92" s="7" t="n">
        <v>0</v>
      </c>
      <c r="E92" s="16" t="n">
        <v>-5</v>
      </c>
      <c r="F92" s="7" t="n">
        <v>0</v>
      </c>
      <c r="G92" s="5" t="n">
        <f aca="false">D92+E92+F92</f>
        <v>-5</v>
      </c>
      <c r="H92" s="5" t="n">
        <f aca="false">MAX(0,MIN(100,ROUND(50+(G92*5),0)))</f>
        <v>25</v>
      </c>
      <c r="I92" s="5" t="str">
        <f aca="false">IF(H92&gt;=90,"A+",IF(H92&gt;=73,"A",IF(H92&gt;=55,"B",IF(H92&gt;=40,"C",IF(H92&gt;=20,"D","F")))))</f>
        <v>D</v>
      </c>
      <c r="J92" s="6" t="s">
        <v>207</v>
      </c>
    </row>
    <row r="93" customFormat="false" ht="15" hidden="false" customHeight="false" outlineLevel="0" collapsed="false">
      <c r="A93" s="7" t="n">
        <v>92</v>
      </c>
      <c r="B93" s="4" t="s">
        <v>298</v>
      </c>
      <c r="C93" s="15" t="s">
        <v>199</v>
      </c>
      <c r="D93" s="7" t="n">
        <v>0</v>
      </c>
      <c r="E93" s="16" t="n">
        <v>-5</v>
      </c>
      <c r="F93" s="7" t="n">
        <v>0</v>
      </c>
      <c r="G93" s="5" t="n">
        <f aca="false">D93+E93+F93</f>
        <v>-5</v>
      </c>
      <c r="H93" s="5" t="n">
        <f aca="false">MAX(0,MIN(100,ROUND(50+(G93*5),0)))</f>
        <v>25</v>
      </c>
      <c r="I93" s="5" t="str">
        <f aca="false">IF(H93&gt;=90,"A+",IF(H93&gt;=73,"A",IF(H93&gt;=55,"B",IF(H93&gt;=40,"C",IF(H93&gt;=20,"D","F")))))</f>
        <v>D</v>
      </c>
      <c r="J93" s="6" t="s">
        <v>207</v>
      </c>
    </row>
    <row r="94" customFormat="false" ht="15" hidden="false" customHeight="false" outlineLevel="0" collapsed="false">
      <c r="A94" s="7" t="n">
        <v>93</v>
      </c>
      <c r="B94" s="4" t="s">
        <v>299</v>
      </c>
      <c r="C94" s="15" t="s">
        <v>199</v>
      </c>
      <c r="D94" s="7" t="n">
        <v>0</v>
      </c>
      <c r="E94" s="16" t="n">
        <v>-5</v>
      </c>
      <c r="F94" s="7" t="n">
        <v>0</v>
      </c>
      <c r="G94" s="5" t="n">
        <f aca="false">D94+E94+F94</f>
        <v>-5</v>
      </c>
      <c r="H94" s="5" t="n">
        <f aca="false">MAX(0,MIN(100,ROUND(50+(G94*5),0)))</f>
        <v>25</v>
      </c>
      <c r="I94" s="5" t="str">
        <f aca="false">IF(H94&gt;=90,"A+",IF(H94&gt;=73,"A",IF(H94&gt;=55,"B",IF(H94&gt;=40,"C",IF(H94&gt;=20,"D","F")))))</f>
        <v>D</v>
      </c>
      <c r="J94" s="6" t="s">
        <v>207</v>
      </c>
    </row>
    <row r="95" customFormat="false" ht="25.5" hidden="false" customHeight="true" outlineLevel="0" collapsed="false">
      <c r="A95" s="7" t="n">
        <v>94</v>
      </c>
      <c r="B95" s="4" t="s">
        <v>300</v>
      </c>
      <c r="C95" s="15" t="s">
        <v>199</v>
      </c>
      <c r="D95" s="16" t="n">
        <v>-3</v>
      </c>
      <c r="E95" s="16" t="n">
        <v>-5</v>
      </c>
      <c r="F95" s="16" t="n">
        <v>-1</v>
      </c>
      <c r="G95" s="5" t="n">
        <f aca="false">D95+E95+F95</f>
        <v>-9</v>
      </c>
      <c r="H95" s="5" t="n">
        <f aca="false">MAX(0,MIN(100,ROUND(50+(G95*5),0)))</f>
        <v>5</v>
      </c>
      <c r="I95" s="5" t="str">
        <f aca="false">IF(H95&gt;=90,"A+",IF(H95&gt;=73,"A",IF(H95&gt;=55,"B",IF(H95&gt;=40,"C",IF(H95&gt;=20,"D","F")))))</f>
        <v>F</v>
      </c>
      <c r="J95" s="6" t="s">
        <v>301</v>
      </c>
    </row>
    <row r="96" customFormat="false" ht="15" hidden="false" customHeight="false" outlineLevel="0" collapsed="false">
      <c r="A96" s="7" t="n">
        <v>95</v>
      </c>
      <c r="B96" s="4" t="s">
        <v>302</v>
      </c>
      <c r="C96" s="15" t="s">
        <v>199</v>
      </c>
      <c r="D96" s="7" t="n">
        <v>0</v>
      </c>
      <c r="E96" s="16" t="n">
        <v>-5</v>
      </c>
      <c r="F96" s="7" t="n">
        <v>0</v>
      </c>
      <c r="G96" s="5" t="n">
        <f aca="false">D96+E96+F96</f>
        <v>-5</v>
      </c>
      <c r="H96" s="5" t="n">
        <f aca="false">MAX(0,MIN(100,ROUND(50+(G96*5),0)))</f>
        <v>25</v>
      </c>
      <c r="I96" s="5" t="str">
        <f aca="false">IF(H96&gt;=90,"A+",IF(H96&gt;=73,"A",IF(H96&gt;=55,"B",IF(H96&gt;=40,"C",IF(H96&gt;=20,"D","F")))))</f>
        <v>D</v>
      </c>
      <c r="J96" s="6" t="s">
        <v>207</v>
      </c>
    </row>
    <row r="97" customFormat="false" ht="15" hidden="false" customHeight="false" outlineLevel="0" collapsed="false">
      <c r="A97" s="7" t="n">
        <v>96</v>
      </c>
      <c r="B97" s="4" t="s">
        <v>303</v>
      </c>
      <c r="C97" s="15" t="s">
        <v>199</v>
      </c>
      <c r="D97" s="7" t="n">
        <v>0</v>
      </c>
      <c r="E97" s="16" t="n">
        <v>-5</v>
      </c>
      <c r="F97" s="7" t="n">
        <v>0</v>
      </c>
      <c r="G97" s="5" t="n">
        <f aca="false">D97+E97+F97</f>
        <v>-5</v>
      </c>
      <c r="H97" s="5" t="n">
        <f aca="false">MAX(0,MIN(100,ROUND(50+(G97*5),0)))</f>
        <v>25</v>
      </c>
      <c r="I97" s="5" t="str">
        <f aca="false">IF(H97&gt;=90,"A+",IF(H97&gt;=73,"A",IF(H97&gt;=55,"B",IF(H97&gt;=40,"C",IF(H97&gt;=20,"D","F")))))</f>
        <v>D</v>
      </c>
      <c r="J97" s="6" t="s">
        <v>207</v>
      </c>
    </row>
    <row r="98" customFormat="false" ht="15" hidden="false" customHeight="false" outlineLevel="0" collapsed="false">
      <c r="A98" s="7" t="n">
        <v>97</v>
      </c>
      <c r="B98" s="4" t="s">
        <v>304</v>
      </c>
      <c r="C98" s="15" t="s">
        <v>199</v>
      </c>
      <c r="D98" s="7" t="n">
        <v>0</v>
      </c>
      <c r="E98" s="16" t="n">
        <v>-5</v>
      </c>
      <c r="F98" s="7" t="n">
        <v>0</v>
      </c>
      <c r="G98" s="5" t="n">
        <f aca="false">D98+E98+F98</f>
        <v>-5</v>
      </c>
      <c r="H98" s="5" t="n">
        <f aca="false">MAX(0,MIN(100,ROUND(50+(G98*5),0)))</f>
        <v>25</v>
      </c>
      <c r="I98" s="5" t="str">
        <f aca="false">IF(H98&gt;=90,"A+",IF(H98&gt;=73,"A",IF(H98&gt;=55,"B",IF(H98&gt;=40,"C",IF(H98&gt;=20,"D","F")))))</f>
        <v>D</v>
      </c>
      <c r="J98" s="6" t="s">
        <v>207</v>
      </c>
    </row>
    <row r="99" customFormat="false" ht="15" hidden="false" customHeight="false" outlineLevel="0" collapsed="false">
      <c r="A99" s="7" t="n">
        <v>98</v>
      </c>
      <c r="B99" s="4" t="s">
        <v>305</v>
      </c>
      <c r="C99" s="15" t="s">
        <v>199</v>
      </c>
      <c r="D99" s="7" t="n">
        <v>0</v>
      </c>
      <c r="E99" s="16" t="n">
        <v>-5</v>
      </c>
      <c r="F99" s="7" t="n">
        <v>0</v>
      </c>
      <c r="G99" s="5" t="n">
        <f aca="false">D99+E99+F99</f>
        <v>-5</v>
      </c>
      <c r="H99" s="5" t="n">
        <f aca="false">MAX(0,MIN(100,ROUND(50+(G99*5),0)))</f>
        <v>25</v>
      </c>
      <c r="I99" s="5" t="str">
        <f aca="false">IF(H99&gt;=90,"A+",IF(H99&gt;=73,"A",IF(H99&gt;=55,"B",IF(H99&gt;=40,"C",IF(H99&gt;=20,"D","F")))))</f>
        <v>D</v>
      </c>
      <c r="J99" s="6" t="s">
        <v>207</v>
      </c>
    </row>
    <row r="100" customFormat="false" ht="15" hidden="false" customHeight="false" outlineLevel="0" collapsed="false">
      <c r="A100" s="7" t="n">
        <v>99</v>
      </c>
      <c r="B100" s="4" t="s">
        <v>306</v>
      </c>
      <c r="C100" s="15" t="s">
        <v>199</v>
      </c>
      <c r="D100" s="7" t="n">
        <v>0</v>
      </c>
      <c r="E100" s="16" t="n">
        <v>-5</v>
      </c>
      <c r="F100" s="16" t="n">
        <v>-1</v>
      </c>
      <c r="G100" s="5" t="n">
        <f aca="false">D100+E100+F100</f>
        <v>-6</v>
      </c>
      <c r="H100" s="5" t="n">
        <f aca="false">MAX(0,MIN(100,ROUND(50+(G100*5),0)))</f>
        <v>20</v>
      </c>
      <c r="I100" s="5" t="str">
        <f aca="false">IF(H100&gt;=90,"A+",IF(H100&gt;=73,"A",IF(H100&gt;=55,"B",IF(H100&gt;=40,"C",IF(H100&gt;=20,"D","F")))))</f>
        <v>D</v>
      </c>
      <c r="J100" s="6" t="s">
        <v>307</v>
      </c>
    </row>
  </sheetData>
  <autoFilter ref="A1:J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30" hidden="false" customHeight="true" outlineLevel="0" collapsed="false">
      <c r="A1" s="10" t="s">
        <v>172</v>
      </c>
      <c r="B1" s="10" t="s">
        <v>173</v>
      </c>
      <c r="C1" s="10" t="s">
        <v>174</v>
      </c>
      <c r="D1" s="10" t="s">
        <v>175</v>
      </c>
      <c r="E1" s="10" t="s">
        <v>176</v>
      </c>
      <c r="F1" s="10" t="s">
        <v>177</v>
      </c>
      <c r="G1" s="10" t="s">
        <v>178</v>
      </c>
      <c r="H1" s="10" t="s">
        <v>179</v>
      </c>
      <c r="I1" s="10" t="s">
        <v>180</v>
      </c>
      <c r="J1" s="10" t="s">
        <v>181</v>
      </c>
    </row>
    <row r="2" customFormat="false" ht="15" hidden="false" customHeight="false" outlineLevel="0" collapsed="false">
      <c r="A2" s="7" t="n">
        <v>1</v>
      </c>
      <c r="B2" s="4" t="s">
        <v>308</v>
      </c>
      <c r="C2" s="15" t="s">
        <v>199</v>
      </c>
      <c r="D2" s="7" t="n">
        <v>0</v>
      </c>
      <c r="E2" s="16" t="n">
        <v>-5</v>
      </c>
      <c r="F2" s="7" t="n">
        <v>0</v>
      </c>
      <c r="G2" s="5" t="n">
        <f aca="false">D2+E2+F2</f>
        <v>-5</v>
      </c>
      <c r="H2" s="5" t="n">
        <f aca="false">MAX(0,MIN(100,ROUND(50+(G2*5),0)))</f>
        <v>25</v>
      </c>
      <c r="I2" s="5" t="str">
        <f aca="false">IF(H2&gt;=90,"A+",IF(H2&gt;=73,"A",IF(H2&gt;=55,"B",IF(H2&gt;=40,"C",IF(H2&gt;=20,"D","F")))))</f>
        <v>D</v>
      </c>
      <c r="J2" s="6" t="s">
        <v>207</v>
      </c>
    </row>
    <row r="3" customFormat="false" ht="15" hidden="false" customHeight="false" outlineLevel="0" collapsed="false">
      <c r="A3" s="7" t="n">
        <v>2</v>
      </c>
      <c r="B3" s="4" t="s">
        <v>309</v>
      </c>
      <c r="C3" s="15" t="s">
        <v>199</v>
      </c>
      <c r="D3" s="7" t="n">
        <v>0</v>
      </c>
      <c r="E3" s="16" t="n">
        <v>-5</v>
      </c>
      <c r="F3" s="7" t="n">
        <v>0</v>
      </c>
      <c r="G3" s="5" t="n">
        <f aca="false">D3+E3+F3</f>
        <v>-5</v>
      </c>
      <c r="H3" s="5" t="n">
        <f aca="false">MAX(0,MIN(100,ROUND(50+(G3*5),0)))</f>
        <v>25</v>
      </c>
      <c r="I3" s="5" t="str">
        <f aca="false">IF(H3&gt;=90,"A+",IF(H3&gt;=73,"A",IF(H3&gt;=55,"B",IF(H3&gt;=40,"C",IF(H3&gt;=20,"D","F")))))</f>
        <v>D</v>
      </c>
      <c r="J3" s="6" t="s">
        <v>207</v>
      </c>
    </row>
    <row r="4" customFormat="false" ht="15" hidden="false" customHeight="false" outlineLevel="0" collapsed="false">
      <c r="A4" s="7" t="n">
        <v>3</v>
      </c>
      <c r="B4" s="4" t="s">
        <v>310</v>
      </c>
      <c r="C4" s="15" t="s">
        <v>199</v>
      </c>
      <c r="D4" s="7" t="n">
        <v>0</v>
      </c>
      <c r="E4" s="16" t="n">
        <v>-5</v>
      </c>
      <c r="F4" s="7" t="n">
        <v>0</v>
      </c>
      <c r="G4" s="5" t="n">
        <f aca="false">D4+E4+F4</f>
        <v>-5</v>
      </c>
      <c r="H4" s="5" t="n">
        <f aca="false">MAX(0,MIN(100,ROUND(50+(G4*5),0)))</f>
        <v>25</v>
      </c>
      <c r="I4" s="5" t="str">
        <f aca="false">IF(H4&gt;=90,"A+",IF(H4&gt;=73,"A",IF(H4&gt;=55,"B",IF(H4&gt;=40,"C",IF(H4&gt;=20,"D","F")))))</f>
        <v>D</v>
      </c>
      <c r="J4" s="6" t="s">
        <v>207</v>
      </c>
    </row>
    <row r="5" customFormat="false" ht="15" hidden="false" customHeight="false" outlineLevel="0" collapsed="false">
      <c r="A5" s="7" t="n">
        <v>4</v>
      </c>
      <c r="B5" s="4" t="s">
        <v>311</v>
      </c>
      <c r="C5" s="15" t="s">
        <v>199</v>
      </c>
      <c r="D5" s="7" t="n">
        <v>0</v>
      </c>
      <c r="E5" s="16" t="n">
        <v>-5</v>
      </c>
      <c r="F5" s="7" t="n">
        <v>0</v>
      </c>
      <c r="G5" s="5" t="n">
        <f aca="false">D5+E5+F5</f>
        <v>-5</v>
      </c>
      <c r="H5" s="5" t="n">
        <f aca="false">MAX(0,MIN(100,ROUND(50+(G5*5),0)))</f>
        <v>25</v>
      </c>
      <c r="I5" s="5" t="str">
        <f aca="false">IF(H5&gt;=90,"A+",IF(H5&gt;=73,"A",IF(H5&gt;=55,"B",IF(H5&gt;=40,"C",IF(H5&gt;=20,"D","F")))))</f>
        <v>D</v>
      </c>
      <c r="J5" s="6" t="s">
        <v>207</v>
      </c>
    </row>
    <row r="6" customFormat="false" ht="15" hidden="false" customHeight="false" outlineLevel="0" collapsed="false">
      <c r="A6" s="7" t="n">
        <v>5</v>
      </c>
      <c r="B6" s="4" t="s">
        <v>312</v>
      </c>
      <c r="C6" s="15" t="s">
        <v>199</v>
      </c>
      <c r="D6" s="7" t="n">
        <v>0</v>
      </c>
      <c r="E6" s="16" t="n">
        <v>-5</v>
      </c>
      <c r="F6" s="7" t="n">
        <v>0</v>
      </c>
      <c r="G6" s="5" t="n">
        <f aca="false">D6+E6+F6</f>
        <v>-5</v>
      </c>
      <c r="H6" s="5" t="n">
        <f aca="false">MAX(0,MIN(100,ROUND(50+(G6*5),0)))</f>
        <v>25</v>
      </c>
      <c r="I6" s="5" t="str">
        <f aca="false">IF(H6&gt;=90,"A+",IF(H6&gt;=73,"A",IF(H6&gt;=55,"B",IF(H6&gt;=40,"C",IF(H6&gt;=20,"D","F")))))</f>
        <v>D</v>
      </c>
      <c r="J6" s="6" t="s">
        <v>207</v>
      </c>
    </row>
    <row r="7" customFormat="false" ht="15" hidden="false" customHeight="false" outlineLevel="0" collapsed="false">
      <c r="A7" s="7" t="n">
        <v>6</v>
      </c>
      <c r="B7" s="4" t="s">
        <v>313</v>
      </c>
      <c r="C7" s="13" t="s">
        <v>25</v>
      </c>
      <c r="D7" s="7" t="n">
        <v>0</v>
      </c>
      <c r="E7" s="14" t="n">
        <v>5</v>
      </c>
      <c r="F7" s="7" t="n">
        <v>0</v>
      </c>
      <c r="G7" s="5" t="n">
        <f aca="false">D7+E7+F7</f>
        <v>5</v>
      </c>
      <c r="H7" s="5" t="n">
        <f aca="false">MAX(0,MIN(100,ROUND(50+(G7*5),0)))</f>
        <v>75</v>
      </c>
      <c r="I7" s="5" t="str">
        <f aca="false">IF(H7&gt;=90,"A+",IF(H7&gt;=73,"A",IF(H7&gt;=55,"B",IF(H7&gt;=40,"C",IF(H7&gt;=20,"D","F")))))</f>
        <v>A</v>
      </c>
      <c r="J7" s="6" t="s">
        <v>185</v>
      </c>
    </row>
    <row r="8" customFormat="false" ht="15" hidden="false" customHeight="false" outlineLevel="0" collapsed="false">
      <c r="A8" s="7" t="n">
        <v>7</v>
      </c>
      <c r="B8" s="4" t="s">
        <v>314</v>
      </c>
      <c r="C8" s="15" t="s">
        <v>199</v>
      </c>
      <c r="D8" s="7" t="n">
        <v>0</v>
      </c>
      <c r="E8" s="16" t="n">
        <v>-5</v>
      </c>
      <c r="F8" s="7" t="n">
        <v>0</v>
      </c>
      <c r="G8" s="5" t="n">
        <f aca="false">D8+E8+F8</f>
        <v>-5</v>
      </c>
      <c r="H8" s="5" t="n">
        <f aca="false">MAX(0,MIN(100,ROUND(50+(G8*5),0)))</f>
        <v>25</v>
      </c>
      <c r="I8" s="5" t="str">
        <f aca="false">IF(H8&gt;=90,"A+",IF(H8&gt;=73,"A",IF(H8&gt;=55,"B",IF(H8&gt;=40,"C",IF(H8&gt;=20,"D","F")))))</f>
        <v>D</v>
      </c>
      <c r="J8" s="6" t="s">
        <v>207</v>
      </c>
    </row>
    <row r="9" customFormat="false" ht="25.5" hidden="false" customHeight="true" outlineLevel="0" collapsed="false">
      <c r="A9" s="7" t="n">
        <v>8</v>
      </c>
      <c r="B9" s="4" t="s">
        <v>315</v>
      </c>
      <c r="C9" s="15" t="s">
        <v>199</v>
      </c>
      <c r="D9" s="7" t="n">
        <v>0</v>
      </c>
      <c r="E9" s="16" t="n">
        <v>-3</v>
      </c>
      <c r="F9" s="14" t="n">
        <v>1</v>
      </c>
      <c r="G9" s="5" t="n">
        <f aca="false">D9+E9+F9</f>
        <v>-2</v>
      </c>
      <c r="H9" s="5" t="n">
        <f aca="false">MAX(0,MIN(100,ROUND(50+(G9*5),0)))</f>
        <v>40</v>
      </c>
      <c r="I9" s="5" t="str">
        <f aca="false">IF(H9&gt;=90,"A+",IF(H9&gt;=73,"A",IF(H9&gt;=55,"B",IF(H9&gt;=40,"C",IF(H9&gt;=20,"D","F")))))</f>
        <v>C</v>
      </c>
      <c r="J9" s="6" t="s">
        <v>316</v>
      </c>
    </row>
    <row r="10" customFormat="false" ht="25.5" hidden="false" customHeight="true" outlineLevel="0" collapsed="false">
      <c r="A10" s="7" t="n">
        <v>9</v>
      </c>
      <c r="B10" s="4" t="s">
        <v>317</v>
      </c>
      <c r="C10" s="13" t="s">
        <v>25</v>
      </c>
      <c r="D10" s="7" t="n">
        <v>0</v>
      </c>
      <c r="E10" s="14" t="n">
        <v>5</v>
      </c>
      <c r="F10" s="14" t="n">
        <v>1</v>
      </c>
      <c r="G10" s="5" t="n">
        <f aca="false">D10+E10+F10</f>
        <v>6</v>
      </c>
      <c r="H10" s="5" t="n">
        <f aca="false">MAX(0,MIN(100,ROUND(50+(G10*5),0)))</f>
        <v>80</v>
      </c>
      <c r="I10" s="5" t="str">
        <f aca="false">IF(H10&gt;=90,"A+",IF(H10&gt;=73,"A",IF(H10&gt;=55,"B",IF(H10&gt;=40,"C",IF(H10&gt;=20,"D","F")))))</f>
        <v>A</v>
      </c>
      <c r="J10" s="6" t="s">
        <v>318</v>
      </c>
    </row>
    <row r="11" customFormat="false" ht="15" hidden="false" customHeight="false" outlineLevel="0" collapsed="false">
      <c r="A11" s="7" t="n">
        <v>10</v>
      </c>
      <c r="B11" s="4" t="s">
        <v>319</v>
      </c>
      <c r="C11" s="15" t="s">
        <v>199</v>
      </c>
      <c r="D11" s="7" t="n">
        <v>0</v>
      </c>
      <c r="E11" s="16" t="n">
        <v>-5</v>
      </c>
      <c r="F11" s="7" t="n">
        <v>0</v>
      </c>
      <c r="G11" s="5" t="n">
        <f aca="false">D11+E11+F11</f>
        <v>-5</v>
      </c>
      <c r="H11" s="5" t="n">
        <f aca="false">MAX(0,MIN(100,ROUND(50+(G11*5),0)))</f>
        <v>25</v>
      </c>
      <c r="I11" s="5" t="str">
        <f aca="false">IF(H11&gt;=90,"A+",IF(H11&gt;=73,"A",IF(H11&gt;=55,"B",IF(H11&gt;=40,"C",IF(H11&gt;=20,"D","F")))))</f>
        <v>D</v>
      </c>
      <c r="J11" s="6" t="s">
        <v>207</v>
      </c>
    </row>
    <row r="12" customFormat="false" ht="25.5" hidden="false" customHeight="true" outlineLevel="0" collapsed="false">
      <c r="A12" s="7" t="n">
        <v>11</v>
      </c>
      <c r="B12" s="4" t="s">
        <v>320</v>
      </c>
      <c r="C12" s="13" t="s">
        <v>25</v>
      </c>
      <c r="D12" s="7" t="n">
        <v>0</v>
      </c>
      <c r="E12" s="14" t="n">
        <v>5</v>
      </c>
      <c r="F12" s="14" t="n">
        <v>1</v>
      </c>
      <c r="G12" s="5" t="n">
        <f aca="false">D12+E12+F12</f>
        <v>6</v>
      </c>
      <c r="H12" s="5" t="n">
        <f aca="false">MAX(0,MIN(100,ROUND(50+(G12*5),0)))</f>
        <v>80</v>
      </c>
      <c r="I12" s="5" t="str">
        <f aca="false">IF(H12&gt;=90,"A+",IF(H12&gt;=73,"A",IF(H12&gt;=55,"B",IF(H12&gt;=40,"C",IF(H12&gt;=20,"D","F")))))</f>
        <v>A</v>
      </c>
      <c r="J12" s="6" t="s">
        <v>321</v>
      </c>
    </row>
    <row r="13" customFormat="false" ht="15" hidden="false" customHeight="false" outlineLevel="0" collapsed="false">
      <c r="A13" s="7" t="n">
        <v>12</v>
      </c>
      <c r="B13" s="4" t="s">
        <v>322</v>
      </c>
      <c r="C13" s="15" t="s">
        <v>199</v>
      </c>
      <c r="D13" s="7" t="n">
        <v>0</v>
      </c>
      <c r="E13" s="16" t="n">
        <v>-5</v>
      </c>
      <c r="F13" s="7" t="n">
        <v>0</v>
      </c>
      <c r="G13" s="5" t="n">
        <f aca="false">D13+E13+F13</f>
        <v>-5</v>
      </c>
      <c r="H13" s="5" t="n">
        <f aca="false">MAX(0,MIN(100,ROUND(50+(G13*5),0)))</f>
        <v>25</v>
      </c>
      <c r="I13" s="5" t="str">
        <f aca="false">IF(H13&gt;=90,"A+",IF(H13&gt;=73,"A",IF(H13&gt;=55,"B",IF(H13&gt;=40,"C",IF(H13&gt;=20,"D","F")))))</f>
        <v>D</v>
      </c>
      <c r="J13" s="6" t="s">
        <v>207</v>
      </c>
    </row>
    <row r="14" customFormat="false" ht="25.5" hidden="false" customHeight="true" outlineLevel="0" collapsed="false">
      <c r="A14" s="7" t="n">
        <v>13</v>
      </c>
      <c r="B14" s="4" t="s">
        <v>323</v>
      </c>
      <c r="C14" s="15" t="s">
        <v>199</v>
      </c>
      <c r="D14" s="7" t="n">
        <v>0</v>
      </c>
      <c r="E14" s="16" t="n">
        <v>-1</v>
      </c>
      <c r="F14" s="14" t="n">
        <v>2</v>
      </c>
      <c r="G14" s="5" t="n">
        <f aca="false">D14+E14+F14</f>
        <v>1</v>
      </c>
      <c r="H14" s="5" t="n">
        <f aca="false">MAX(0,MIN(100,ROUND(50+(G14*5),0)))</f>
        <v>55</v>
      </c>
      <c r="I14" s="5" t="str">
        <f aca="false">IF(H14&gt;=90,"A+",IF(H14&gt;=73,"A",IF(H14&gt;=55,"B",IF(H14&gt;=40,"C",IF(H14&gt;=20,"D","F")))))</f>
        <v>B</v>
      </c>
      <c r="J14" s="6" t="s">
        <v>324</v>
      </c>
    </row>
    <row r="15" customFormat="false" ht="25.5" hidden="false" customHeight="true" outlineLevel="0" collapsed="false">
      <c r="A15" s="7" t="n">
        <v>14</v>
      </c>
      <c r="B15" s="4" t="s">
        <v>325</v>
      </c>
      <c r="C15" s="15" t="s">
        <v>199</v>
      </c>
      <c r="D15" s="16" t="n">
        <v>-3</v>
      </c>
      <c r="E15" s="16" t="n">
        <v>-5</v>
      </c>
      <c r="F15" s="16" t="n">
        <v>-1</v>
      </c>
      <c r="G15" s="5" t="n">
        <f aca="false">D15+E15+F15</f>
        <v>-9</v>
      </c>
      <c r="H15" s="5" t="n">
        <f aca="false">MAX(0,MIN(100,ROUND(50+(G15*5),0)))</f>
        <v>5</v>
      </c>
      <c r="I15" s="5" t="str">
        <f aca="false">IF(H15&gt;=90,"A+",IF(H15&gt;=73,"A",IF(H15&gt;=55,"B",IF(H15&gt;=40,"C",IF(H15&gt;=20,"D","F")))))</f>
        <v>F</v>
      </c>
      <c r="J15" s="6" t="s">
        <v>326</v>
      </c>
    </row>
    <row r="16" customFormat="false" ht="15" hidden="false" customHeight="false" outlineLevel="0" collapsed="false">
      <c r="A16" s="7" t="n">
        <v>15</v>
      </c>
      <c r="B16" s="4" t="s">
        <v>327</v>
      </c>
      <c r="C16" s="13" t="s">
        <v>25</v>
      </c>
      <c r="D16" s="7" t="n">
        <v>0</v>
      </c>
      <c r="E16" s="14" t="n">
        <v>5</v>
      </c>
      <c r="F16" s="7" t="n">
        <v>0</v>
      </c>
      <c r="G16" s="5" t="n">
        <f aca="false">D16+E16+F16</f>
        <v>5</v>
      </c>
      <c r="H16" s="5" t="n">
        <f aca="false">MAX(0,MIN(100,ROUND(50+(G16*5),0)))</f>
        <v>75</v>
      </c>
      <c r="I16" s="5" t="str">
        <f aca="false">IF(H16&gt;=90,"A+",IF(H16&gt;=73,"A",IF(H16&gt;=55,"B",IF(H16&gt;=40,"C",IF(H16&gt;=20,"D","F")))))</f>
        <v>A</v>
      </c>
      <c r="J16" s="6" t="s">
        <v>185</v>
      </c>
    </row>
    <row r="17" customFormat="false" ht="25.5" hidden="false" customHeight="true" outlineLevel="0" collapsed="false">
      <c r="A17" s="7" t="n">
        <v>16</v>
      </c>
      <c r="B17" s="4" t="s">
        <v>328</v>
      </c>
      <c r="C17" s="13" t="s">
        <v>25</v>
      </c>
      <c r="D17" s="14" t="n">
        <v>2</v>
      </c>
      <c r="E17" s="14" t="n">
        <v>5</v>
      </c>
      <c r="F17" s="14" t="n">
        <v>1</v>
      </c>
      <c r="G17" s="5" t="n">
        <f aca="false">D17+E17+F17</f>
        <v>8</v>
      </c>
      <c r="H17" s="5" t="n">
        <f aca="false">MAX(0,MIN(100,ROUND(50+(G17*5),0)))</f>
        <v>90</v>
      </c>
      <c r="I17" s="5" t="str">
        <f aca="false">IF(H17&gt;=90,"A+",IF(H17&gt;=73,"A",IF(H17&gt;=55,"B",IF(H17&gt;=40,"C",IF(H17&gt;=20,"D","F")))))</f>
        <v>A+</v>
      </c>
      <c r="J17" s="6" t="s">
        <v>329</v>
      </c>
    </row>
    <row r="18" customFormat="false" ht="15" hidden="false" customHeight="false" outlineLevel="0" collapsed="false">
      <c r="A18" s="7" t="n">
        <v>17</v>
      </c>
      <c r="B18" s="4" t="s">
        <v>330</v>
      </c>
      <c r="C18" s="15" t="s">
        <v>199</v>
      </c>
      <c r="D18" s="7" t="n">
        <v>0</v>
      </c>
      <c r="E18" s="16" t="n">
        <v>-5</v>
      </c>
      <c r="F18" s="7" t="n">
        <v>0</v>
      </c>
      <c r="G18" s="5" t="n">
        <f aca="false">D18+E18+F18</f>
        <v>-5</v>
      </c>
      <c r="H18" s="5" t="n">
        <f aca="false">MAX(0,MIN(100,ROUND(50+(G18*5),0)))</f>
        <v>25</v>
      </c>
      <c r="I18" s="5" t="str">
        <f aca="false">IF(H18&gt;=90,"A+",IF(H18&gt;=73,"A",IF(H18&gt;=55,"B",IF(H18&gt;=40,"C",IF(H18&gt;=20,"D","F")))))</f>
        <v>D</v>
      </c>
      <c r="J18" s="6" t="s">
        <v>207</v>
      </c>
    </row>
    <row r="19" customFormat="false" ht="39" hidden="false" customHeight="true" outlineLevel="0" collapsed="false">
      <c r="A19" s="7" t="n">
        <v>18</v>
      </c>
      <c r="B19" s="4" t="s">
        <v>331</v>
      </c>
      <c r="C19" s="15" t="s">
        <v>199</v>
      </c>
      <c r="D19" s="16" t="n">
        <v>-9</v>
      </c>
      <c r="E19" s="16" t="n">
        <v>-5</v>
      </c>
      <c r="F19" s="16" t="n">
        <v>-3</v>
      </c>
      <c r="G19" s="5" t="n">
        <f aca="false">D19+E19+F19</f>
        <v>-17</v>
      </c>
      <c r="H19" s="5" t="n">
        <f aca="false">MAX(0,MIN(100,ROUND(50+(G19*5),0)))</f>
        <v>0</v>
      </c>
      <c r="I19" s="5" t="str">
        <f aca="false">IF(H19&gt;=90,"A+",IF(H19&gt;=73,"A",IF(H19&gt;=55,"B",IF(H19&gt;=40,"C",IF(H19&gt;=20,"D","F")))))</f>
        <v>F</v>
      </c>
      <c r="J19" s="6" t="s">
        <v>332</v>
      </c>
    </row>
    <row r="20" customFormat="false" ht="39" hidden="false" customHeight="true" outlineLevel="0" collapsed="false">
      <c r="A20" s="7" t="n">
        <v>19</v>
      </c>
      <c r="B20" s="4" t="s">
        <v>333</v>
      </c>
      <c r="C20" s="15" t="s">
        <v>199</v>
      </c>
      <c r="D20" s="16" t="n">
        <v>-9</v>
      </c>
      <c r="E20" s="16" t="n">
        <v>-5</v>
      </c>
      <c r="F20" s="16" t="n">
        <v>-2</v>
      </c>
      <c r="G20" s="5" t="n">
        <f aca="false">D20+E20+F20</f>
        <v>-16</v>
      </c>
      <c r="H20" s="5" t="n">
        <f aca="false">MAX(0,MIN(100,ROUND(50+(G20*5),0)))</f>
        <v>0</v>
      </c>
      <c r="I20" s="5" t="str">
        <f aca="false">IF(H20&gt;=90,"A+",IF(H20&gt;=73,"A",IF(H20&gt;=55,"B",IF(H20&gt;=40,"C",IF(H20&gt;=20,"D","F")))))</f>
        <v>F</v>
      </c>
      <c r="J20" s="6" t="s">
        <v>334</v>
      </c>
    </row>
    <row r="21" customFormat="false" ht="25.5" hidden="false" customHeight="true" outlineLevel="0" collapsed="false">
      <c r="A21" s="7" t="n">
        <v>20</v>
      </c>
      <c r="B21" s="4" t="s">
        <v>335</v>
      </c>
      <c r="C21" s="15" t="s">
        <v>199</v>
      </c>
      <c r="D21" s="16" t="n">
        <v>-3</v>
      </c>
      <c r="E21" s="16" t="n">
        <v>-5</v>
      </c>
      <c r="F21" s="7" t="n">
        <v>0</v>
      </c>
      <c r="G21" s="5" t="n">
        <f aca="false">D21+E21+F21</f>
        <v>-8</v>
      </c>
      <c r="H21" s="5" t="n">
        <f aca="false">MAX(0,MIN(100,ROUND(50+(G21*5),0)))</f>
        <v>10</v>
      </c>
      <c r="I21" s="5" t="str">
        <f aca="false">IF(H21&gt;=90,"A+",IF(H21&gt;=73,"A",IF(H21&gt;=55,"B",IF(H21&gt;=40,"C",IF(H21&gt;=20,"D","F")))))</f>
        <v>F</v>
      </c>
      <c r="J21" s="6" t="s">
        <v>336</v>
      </c>
    </row>
    <row r="22" customFormat="false" ht="25.5" hidden="false" customHeight="true" outlineLevel="0" collapsed="false">
      <c r="A22" s="7" t="n">
        <v>21</v>
      </c>
      <c r="B22" s="4" t="s">
        <v>337</v>
      </c>
      <c r="C22" s="13" t="s">
        <v>25</v>
      </c>
      <c r="D22" s="7" t="n">
        <v>0</v>
      </c>
      <c r="E22" s="14" t="n">
        <v>5</v>
      </c>
      <c r="F22" s="14" t="n">
        <v>1</v>
      </c>
      <c r="G22" s="5" t="n">
        <f aca="false">D22+E22+F22</f>
        <v>6</v>
      </c>
      <c r="H22" s="5" t="n">
        <f aca="false">MAX(0,MIN(100,ROUND(50+(G22*5),0)))</f>
        <v>80</v>
      </c>
      <c r="I22" s="5" t="str">
        <f aca="false">IF(H22&gt;=90,"A+",IF(H22&gt;=73,"A",IF(H22&gt;=55,"B",IF(H22&gt;=40,"C",IF(H22&gt;=20,"D","F")))))</f>
        <v>A</v>
      </c>
      <c r="J22" s="6" t="s">
        <v>338</v>
      </c>
    </row>
    <row r="23" customFormat="false" ht="15" hidden="false" customHeight="false" outlineLevel="0" collapsed="false">
      <c r="A23" s="7" t="n">
        <v>22</v>
      </c>
      <c r="B23" s="4" t="s">
        <v>339</v>
      </c>
      <c r="C23" s="15" t="s">
        <v>199</v>
      </c>
      <c r="D23" s="7" t="n">
        <v>0</v>
      </c>
      <c r="E23" s="16" t="n">
        <v>-5</v>
      </c>
      <c r="F23" s="7" t="n">
        <v>0</v>
      </c>
      <c r="G23" s="5" t="n">
        <f aca="false">D23+E23+F23</f>
        <v>-5</v>
      </c>
      <c r="H23" s="5" t="n">
        <f aca="false">MAX(0,MIN(100,ROUND(50+(G23*5),0)))</f>
        <v>25</v>
      </c>
      <c r="I23" s="5" t="str">
        <f aca="false">IF(H23&gt;=90,"A+",IF(H23&gt;=73,"A",IF(H23&gt;=55,"B",IF(H23&gt;=40,"C",IF(H23&gt;=20,"D","F")))))</f>
        <v>D</v>
      </c>
      <c r="J23" s="6" t="s">
        <v>207</v>
      </c>
    </row>
    <row r="24" customFormat="false" ht="51.75" hidden="false" customHeight="true" outlineLevel="0" collapsed="false">
      <c r="A24" s="7" t="n">
        <v>23</v>
      </c>
      <c r="B24" s="4" t="s">
        <v>340</v>
      </c>
      <c r="C24" s="13" t="s">
        <v>25</v>
      </c>
      <c r="D24" s="14" t="n">
        <v>9</v>
      </c>
      <c r="E24" s="14" t="n">
        <v>5</v>
      </c>
      <c r="F24" s="14" t="n">
        <v>3</v>
      </c>
      <c r="G24" s="5" t="n">
        <f aca="false">D24+E24+F24</f>
        <v>17</v>
      </c>
      <c r="H24" s="5" t="n">
        <f aca="false">MAX(0,MIN(100,ROUND(50+(G24*5),0)))</f>
        <v>100</v>
      </c>
      <c r="I24" s="5" t="str">
        <f aca="false">IF(H24&gt;=90,"A+",IF(H24&gt;=73,"A",IF(H24&gt;=55,"B",IF(H24&gt;=40,"C",IF(H24&gt;=20,"D","F")))))</f>
        <v>A+</v>
      </c>
      <c r="J24" s="6" t="s">
        <v>341</v>
      </c>
    </row>
    <row r="25" customFormat="false" ht="15" hidden="false" customHeight="false" outlineLevel="0" collapsed="false">
      <c r="A25" s="7" t="n">
        <v>24</v>
      </c>
      <c r="B25" s="4" t="s">
        <v>342</v>
      </c>
      <c r="C25" s="15" t="s">
        <v>199</v>
      </c>
      <c r="D25" s="7" t="n">
        <v>0</v>
      </c>
      <c r="E25" s="16" t="n">
        <v>-5</v>
      </c>
      <c r="F25" s="7" t="n">
        <v>0</v>
      </c>
      <c r="G25" s="5" t="n">
        <f aca="false">D25+E25+F25</f>
        <v>-5</v>
      </c>
      <c r="H25" s="5" t="n">
        <f aca="false">MAX(0,MIN(100,ROUND(50+(G25*5),0)))</f>
        <v>25</v>
      </c>
      <c r="I25" s="5" t="str">
        <f aca="false">IF(H25&gt;=90,"A+",IF(H25&gt;=73,"A",IF(H25&gt;=55,"B",IF(H25&gt;=40,"C",IF(H25&gt;=20,"D","F")))))</f>
        <v>D</v>
      </c>
      <c r="J25" s="6" t="s">
        <v>207</v>
      </c>
    </row>
    <row r="26" customFormat="false" ht="25.5" hidden="false" customHeight="true" outlineLevel="0" collapsed="false">
      <c r="A26" s="7" t="n">
        <v>25</v>
      </c>
      <c r="B26" s="4" t="s">
        <v>343</v>
      </c>
      <c r="C26" s="13" t="s">
        <v>25</v>
      </c>
      <c r="D26" s="7" t="n">
        <v>0</v>
      </c>
      <c r="E26" s="14" t="n">
        <v>5</v>
      </c>
      <c r="F26" s="14" t="n">
        <v>1</v>
      </c>
      <c r="G26" s="5" t="n">
        <f aca="false">D26+E26+F26</f>
        <v>6</v>
      </c>
      <c r="H26" s="5" t="n">
        <f aca="false">MAX(0,MIN(100,ROUND(50+(G26*5),0)))</f>
        <v>80</v>
      </c>
      <c r="I26" s="5" t="str">
        <f aca="false">IF(H26&gt;=90,"A+",IF(H26&gt;=73,"A",IF(H26&gt;=55,"B",IF(H26&gt;=40,"C",IF(H26&gt;=20,"D","F")))))</f>
        <v>A</v>
      </c>
      <c r="J26" s="6" t="s">
        <v>344</v>
      </c>
    </row>
    <row r="27" customFormat="false" ht="15" hidden="false" customHeight="false" outlineLevel="0" collapsed="false">
      <c r="A27" s="7" t="n">
        <v>26</v>
      </c>
      <c r="B27" s="4" t="s">
        <v>345</v>
      </c>
      <c r="C27" s="15" t="s">
        <v>199</v>
      </c>
      <c r="D27" s="7" t="n">
        <v>0</v>
      </c>
      <c r="E27" s="16" t="n">
        <v>-5</v>
      </c>
      <c r="F27" s="7" t="n">
        <v>0</v>
      </c>
      <c r="G27" s="5" t="n">
        <f aca="false">D27+E27+F27</f>
        <v>-5</v>
      </c>
      <c r="H27" s="5" t="n">
        <f aca="false">MAX(0,MIN(100,ROUND(50+(G27*5),0)))</f>
        <v>25</v>
      </c>
      <c r="I27" s="5" t="str">
        <f aca="false">IF(H27&gt;=90,"A+",IF(H27&gt;=73,"A",IF(H27&gt;=55,"B",IF(H27&gt;=40,"C",IF(H27&gt;=20,"D","F")))))</f>
        <v>D</v>
      </c>
      <c r="J27" s="6" t="s">
        <v>207</v>
      </c>
    </row>
    <row r="28" customFormat="false" ht="25.5" hidden="false" customHeight="true" outlineLevel="0" collapsed="false">
      <c r="A28" s="7" t="n">
        <v>27</v>
      </c>
      <c r="B28" s="4" t="s">
        <v>346</v>
      </c>
      <c r="C28" s="15" t="s">
        <v>199</v>
      </c>
      <c r="D28" s="7" t="n">
        <v>0</v>
      </c>
      <c r="E28" s="16" t="n">
        <v>-5</v>
      </c>
      <c r="F28" s="16" t="n">
        <v>-2</v>
      </c>
      <c r="G28" s="5" t="n">
        <f aca="false">D28+E28+F28</f>
        <v>-7</v>
      </c>
      <c r="H28" s="5" t="n">
        <f aca="false">MAX(0,MIN(100,ROUND(50+(G28*5),0)))</f>
        <v>15</v>
      </c>
      <c r="I28" s="5" t="str">
        <f aca="false">IF(H28&gt;=90,"A+",IF(H28&gt;=73,"A",IF(H28&gt;=55,"B",IF(H28&gt;=40,"C",IF(H28&gt;=20,"D","F")))))</f>
        <v>F</v>
      </c>
      <c r="J28" s="6" t="s">
        <v>347</v>
      </c>
    </row>
    <row r="29" customFormat="false" ht="15" hidden="false" customHeight="false" outlineLevel="0" collapsed="false">
      <c r="A29" s="7" t="n">
        <v>28</v>
      </c>
      <c r="B29" s="4" t="s">
        <v>348</v>
      </c>
      <c r="C29" s="13" t="s">
        <v>25</v>
      </c>
      <c r="D29" s="7" t="n">
        <v>0</v>
      </c>
      <c r="E29" s="14" t="n">
        <v>5</v>
      </c>
      <c r="F29" s="14" t="n">
        <v>1</v>
      </c>
      <c r="G29" s="5" t="n">
        <f aca="false">D29+E29+F29</f>
        <v>6</v>
      </c>
      <c r="H29" s="5" t="n">
        <f aca="false">MAX(0,MIN(100,ROUND(50+(G29*5),0)))</f>
        <v>80</v>
      </c>
      <c r="I29" s="5" t="str">
        <f aca="false">IF(H29&gt;=90,"A+",IF(H29&gt;=73,"A",IF(H29&gt;=55,"B",IF(H29&gt;=40,"C",IF(H29&gt;=20,"D","F")))))</f>
        <v>A</v>
      </c>
      <c r="J29" s="6" t="s">
        <v>185</v>
      </c>
    </row>
    <row r="30" customFormat="false" ht="15" hidden="false" customHeight="false" outlineLevel="0" collapsed="false">
      <c r="A30" s="7" t="n">
        <v>29</v>
      </c>
      <c r="B30" s="4" t="s">
        <v>349</v>
      </c>
      <c r="C30" s="15" t="s">
        <v>199</v>
      </c>
      <c r="D30" s="7" t="n">
        <v>0</v>
      </c>
      <c r="E30" s="16" t="n">
        <v>-5</v>
      </c>
      <c r="F30" s="7" t="n">
        <v>0</v>
      </c>
      <c r="G30" s="5" t="n">
        <f aca="false">D30+E30+F30</f>
        <v>-5</v>
      </c>
      <c r="H30" s="5" t="n">
        <f aca="false">MAX(0,MIN(100,ROUND(50+(G30*5),0)))</f>
        <v>25</v>
      </c>
      <c r="I30" s="5" t="str">
        <f aca="false">IF(H30&gt;=90,"A+",IF(H30&gt;=73,"A",IF(H30&gt;=55,"B",IF(H30&gt;=40,"C",IF(H30&gt;=20,"D","F")))))</f>
        <v>D</v>
      </c>
      <c r="J30" s="6" t="s">
        <v>207</v>
      </c>
    </row>
    <row r="31" customFormat="false" ht="15" hidden="false" customHeight="false" outlineLevel="0" collapsed="false">
      <c r="A31" s="7" t="n">
        <v>30</v>
      </c>
      <c r="B31" s="4" t="s">
        <v>350</v>
      </c>
      <c r="C31" s="15" t="s">
        <v>199</v>
      </c>
      <c r="D31" s="7" t="n">
        <v>0</v>
      </c>
      <c r="E31" s="16" t="n">
        <v>-5</v>
      </c>
      <c r="F31" s="7" t="n">
        <v>0</v>
      </c>
      <c r="G31" s="5" t="n">
        <f aca="false">D31+E31+F31</f>
        <v>-5</v>
      </c>
      <c r="H31" s="5" t="n">
        <f aca="false">MAX(0,MIN(100,ROUND(50+(G31*5),0)))</f>
        <v>25</v>
      </c>
      <c r="I31" s="5" t="str">
        <f aca="false">IF(H31&gt;=90,"A+",IF(H31&gt;=73,"A",IF(H31&gt;=55,"B",IF(H31&gt;=40,"C",IF(H31&gt;=20,"D","F")))))</f>
        <v>D</v>
      </c>
      <c r="J31" s="6" t="s">
        <v>207</v>
      </c>
    </row>
    <row r="32" customFormat="false" ht="15" hidden="false" customHeight="false" outlineLevel="0" collapsed="false">
      <c r="A32" s="7" t="n">
        <v>31</v>
      </c>
      <c r="B32" s="4" t="s">
        <v>351</v>
      </c>
      <c r="C32" s="15" t="s">
        <v>199</v>
      </c>
      <c r="D32" s="7" t="n">
        <v>0</v>
      </c>
      <c r="E32" s="16" t="n">
        <v>-5</v>
      </c>
      <c r="F32" s="7" t="n">
        <v>0</v>
      </c>
      <c r="G32" s="5" t="n">
        <f aca="false">D32+E32+F32</f>
        <v>-5</v>
      </c>
      <c r="H32" s="5" t="n">
        <f aca="false">MAX(0,MIN(100,ROUND(50+(G32*5),0)))</f>
        <v>25</v>
      </c>
      <c r="I32" s="5" t="str">
        <f aca="false">IF(H32&gt;=90,"A+",IF(H32&gt;=73,"A",IF(H32&gt;=55,"B",IF(H32&gt;=40,"C",IF(H32&gt;=20,"D","F")))))</f>
        <v>D</v>
      </c>
      <c r="J32" s="6" t="s">
        <v>207</v>
      </c>
    </row>
    <row r="33" customFormat="false" ht="15" hidden="false" customHeight="false" outlineLevel="0" collapsed="false">
      <c r="A33" s="7" t="n">
        <v>32</v>
      </c>
      <c r="B33" s="4" t="s">
        <v>352</v>
      </c>
      <c r="C33" s="15" t="s">
        <v>199</v>
      </c>
      <c r="D33" s="7" t="n">
        <v>0</v>
      </c>
      <c r="E33" s="16" t="n">
        <v>-5</v>
      </c>
      <c r="F33" s="7" t="n">
        <v>0</v>
      </c>
      <c r="G33" s="5" t="n">
        <f aca="false">D33+E33+F33</f>
        <v>-5</v>
      </c>
      <c r="H33" s="5" t="n">
        <f aca="false">MAX(0,MIN(100,ROUND(50+(G33*5),0)))</f>
        <v>25</v>
      </c>
      <c r="I33" s="5" t="str">
        <f aca="false">IF(H33&gt;=90,"A+",IF(H33&gt;=73,"A",IF(H33&gt;=55,"B",IF(H33&gt;=40,"C",IF(H33&gt;=20,"D","F")))))</f>
        <v>D</v>
      </c>
      <c r="J33" s="6" t="s">
        <v>207</v>
      </c>
    </row>
    <row r="34" customFormat="false" ht="15" hidden="false" customHeight="false" outlineLevel="0" collapsed="false">
      <c r="A34" s="7" t="n">
        <v>33</v>
      </c>
      <c r="B34" s="4" t="s">
        <v>353</v>
      </c>
      <c r="C34" s="15" t="s">
        <v>199</v>
      </c>
      <c r="D34" s="7" t="n">
        <v>0</v>
      </c>
      <c r="E34" s="16" t="n">
        <v>-5</v>
      </c>
      <c r="F34" s="7" t="n">
        <v>0</v>
      </c>
      <c r="G34" s="5" t="n">
        <f aca="false">D34+E34+F34</f>
        <v>-5</v>
      </c>
      <c r="H34" s="5" t="n">
        <f aca="false">MAX(0,MIN(100,ROUND(50+(G34*5),0)))</f>
        <v>25</v>
      </c>
      <c r="I34" s="5" t="str">
        <f aca="false">IF(H34&gt;=90,"A+",IF(H34&gt;=73,"A",IF(H34&gt;=55,"B",IF(H34&gt;=40,"C",IF(H34&gt;=20,"D","F")))))</f>
        <v>D</v>
      </c>
      <c r="J34" s="6" t="s">
        <v>207</v>
      </c>
    </row>
  </sheetData>
  <autoFilter ref="A1:J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10" min="9" style="0" width="50"/>
  </cols>
  <sheetData>
    <row r="1" customFormat="false" ht="26.85" hidden="false" customHeight="false" outlineLevel="0" collapsed="false">
      <c r="A1" s="10" t="s">
        <v>48</v>
      </c>
      <c r="B1" s="10" t="s">
        <v>50</v>
      </c>
      <c r="C1" s="10" t="s">
        <v>51</v>
      </c>
      <c r="D1" s="10" t="s">
        <v>354</v>
      </c>
      <c r="E1" s="10" t="s">
        <v>355</v>
      </c>
      <c r="F1" s="10" t="s">
        <v>356</v>
      </c>
      <c r="G1" s="10" t="s">
        <v>357</v>
      </c>
      <c r="H1" s="10" t="s">
        <v>358</v>
      </c>
      <c r="I1" s="10" t="s">
        <v>359</v>
      </c>
      <c r="J1" s="10" t="s">
        <v>181</v>
      </c>
    </row>
    <row r="2" customFormat="false" ht="15" hidden="false" customHeight="false" outlineLevel="0" collapsed="false">
      <c r="A2" s="8" t="s">
        <v>151</v>
      </c>
      <c r="B2" s="8" t="s">
        <v>153</v>
      </c>
      <c r="C2" s="8" t="s">
        <v>91</v>
      </c>
      <c r="D2" s="8" t="s">
        <v>360</v>
      </c>
      <c r="E2" s="8" t="s">
        <v>361</v>
      </c>
      <c r="F2" s="8" t="s">
        <v>362</v>
      </c>
      <c r="G2" s="8" t="n">
        <v>64</v>
      </c>
      <c r="H2" s="8" t="n">
        <v>28</v>
      </c>
      <c r="I2" s="8" t="s">
        <v>363</v>
      </c>
      <c r="J2" s="8" t="s">
        <v>364</v>
      </c>
    </row>
    <row r="3" customFormat="false" ht="15" hidden="false" customHeight="false" outlineLevel="0" collapsed="false">
      <c r="A3" s="8" t="s">
        <v>151</v>
      </c>
      <c r="B3" s="8" t="s">
        <v>153</v>
      </c>
      <c r="C3" s="8" t="s">
        <v>62</v>
      </c>
      <c r="D3" s="8" t="s">
        <v>360</v>
      </c>
      <c r="E3" s="8" t="s">
        <v>365</v>
      </c>
      <c r="F3" s="8" t="s">
        <v>362</v>
      </c>
      <c r="G3" s="8"/>
      <c r="H3" s="8"/>
      <c r="I3" s="8"/>
      <c r="J3" s="8" t="s">
        <v>366</v>
      </c>
    </row>
    <row r="4" customFormat="false" ht="27.75" hidden="false" customHeight="true" outlineLevel="0" collapsed="false">
      <c r="A4" s="8" t="s">
        <v>151</v>
      </c>
      <c r="B4" s="8" t="s">
        <v>153</v>
      </c>
      <c r="C4" s="8" t="s">
        <v>91</v>
      </c>
      <c r="D4" s="8" t="s">
        <v>367</v>
      </c>
      <c r="E4" s="8" t="s">
        <v>368</v>
      </c>
      <c r="F4" s="8" t="s">
        <v>369</v>
      </c>
      <c r="G4" s="8" t="n">
        <v>65</v>
      </c>
      <c r="H4" s="8" t="n">
        <v>28</v>
      </c>
      <c r="I4" s="8" t="s">
        <v>370</v>
      </c>
      <c r="J4" s="8" t="s">
        <v>371</v>
      </c>
    </row>
    <row r="5" customFormat="false" ht="27.75" hidden="false" customHeight="true" outlineLevel="0" collapsed="false">
      <c r="A5" s="8" t="s">
        <v>151</v>
      </c>
      <c r="B5" s="8" t="s">
        <v>153</v>
      </c>
      <c r="C5" s="8" t="s">
        <v>62</v>
      </c>
      <c r="D5" s="8" t="s">
        <v>367</v>
      </c>
      <c r="E5" s="8" t="s">
        <v>159</v>
      </c>
      <c r="F5" s="8" t="s">
        <v>369</v>
      </c>
      <c r="G5" s="8" t="n">
        <v>24</v>
      </c>
      <c r="H5" s="8" t="n">
        <v>8</v>
      </c>
      <c r="I5" s="8" t="s">
        <v>372</v>
      </c>
      <c r="J5" s="8" t="s">
        <v>373</v>
      </c>
    </row>
    <row r="6" customFormat="false" ht="15" hidden="false" customHeight="false" outlineLevel="0" collapsed="false">
      <c r="A6" s="8" t="s">
        <v>160</v>
      </c>
      <c r="B6" s="8" t="s">
        <v>153</v>
      </c>
      <c r="C6" s="8" t="s">
        <v>91</v>
      </c>
      <c r="D6" s="8" t="s">
        <v>360</v>
      </c>
      <c r="E6" s="8" t="s">
        <v>165</v>
      </c>
      <c r="F6" s="8" t="s">
        <v>362</v>
      </c>
      <c r="G6" s="8" t="n">
        <v>57</v>
      </c>
      <c r="H6" s="8" t="n">
        <v>31</v>
      </c>
      <c r="I6" s="8" t="s">
        <v>374</v>
      </c>
      <c r="J6" s="8" t="s">
        <v>375</v>
      </c>
    </row>
    <row r="7" customFormat="false" ht="27.75" hidden="false" customHeight="true" outlineLevel="0" collapsed="false">
      <c r="A7" s="8" t="s">
        <v>160</v>
      </c>
      <c r="B7" s="8" t="s">
        <v>153</v>
      </c>
      <c r="C7" s="8" t="s">
        <v>62</v>
      </c>
      <c r="D7" s="8" t="s">
        <v>360</v>
      </c>
      <c r="E7" s="8" t="s">
        <v>165</v>
      </c>
      <c r="F7" s="8" t="s">
        <v>362</v>
      </c>
      <c r="G7" s="8" t="n">
        <v>24</v>
      </c>
      <c r="H7" s="8" t="n">
        <v>7</v>
      </c>
      <c r="I7" s="8" t="s">
        <v>376</v>
      </c>
      <c r="J7" s="8" t="s">
        <v>377</v>
      </c>
    </row>
    <row r="8" customFormat="false" ht="15" hidden="false" customHeight="false" outlineLevel="0" collapsed="false">
      <c r="A8" s="8" t="s">
        <v>166</v>
      </c>
      <c r="B8" s="8" t="s">
        <v>153</v>
      </c>
      <c r="C8" s="8" t="s">
        <v>91</v>
      </c>
      <c r="D8" s="8" t="s">
        <v>360</v>
      </c>
      <c r="E8" s="8" t="s">
        <v>378</v>
      </c>
      <c r="F8" s="8" t="s">
        <v>362</v>
      </c>
      <c r="G8" s="8" t="n">
        <v>60</v>
      </c>
      <c r="H8" s="8" t="n">
        <v>31</v>
      </c>
      <c r="I8" s="8" t="s">
        <v>379</v>
      </c>
      <c r="J8" s="8" t="s">
        <v>380</v>
      </c>
    </row>
    <row r="9" customFormat="false" ht="15" hidden="false" customHeight="false" outlineLevel="0" collapsed="false">
      <c r="A9" s="8" t="s">
        <v>166</v>
      </c>
      <c r="B9" s="8" t="s">
        <v>153</v>
      </c>
      <c r="C9" s="8" t="s">
        <v>62</v>
      </c>
      <c r="D9" s="8" t="s">
        <v>360</v>
      </c>
      <c r="E9" s="8" t="s">
        <v>171</v>
      </c>
      <c r="F9" s="8" t="s">
        <v>362</v>
      </c>
      <c r="G9" s="8" t="n">
        <v>24</v>
      </c>
      <c r="H9" s="8" t="n">
        <v>7</v>
      </c>
      <c r="I9" s="8" t="s">
        <v>381</v>
      </c>
      <c r="J9" s="8" t="s">
        <v>382</v>
      </c>
    </row>
    <row r="10" customFormat="false" ht="15" hidden="false" customHeight="false" outlineLevel="0" collapsed="false">
      <c r="A10" s="8" t="s">
        <v>59</v>
      </c>
      <c r="B10" s="8" t="s">
        <v>61</v>
      </c>
      <c r="C10" s="8" t="s">
        <v>62</v>
      </c>
      <c r="D10" s="8" t="s">
        <v>360</v>
      </c>
      <c r="E10" s="8" t="s">
        <v>383</v>
      </c>
      <c r="F10" s="8" t="s">
        <v>362</v>
      </c>
      <c r="G10" s="8" t="n">
        <v>21</v>
      </c>
      <c r="H10" s="8" t="n">
        <v>11</v>
      </c>
      <c r="I10" s="8" t="s">
        <v>384</v>
      </c>
      <c r="J10" s="8" t="s">
        <v>385</v>
      </c>
    </row>
    <row r="11" customFormat="false" ht="15" hidden="false" customHeight="false" outlineLevel="0" collapsed="false">
      <c r="A11" s="8" t="s">
        <v>59</v>
      </c>
      <c r="B11" s="8" t="s">
        <v>61</v>
      </c>
      <c r="C11" s="8" t="s">
        <v>91</v>
      </c>
      <c r="D11" s="8" t="s">
        <v>360</v>
      </c>
      <c r="E11" s="8" t="s">
        <v>386</v>
      </c>
      <c r="F11" s="8" t="s">
        <v>362</v>
      </c>
      <c r="G11" s="8" t="n">
        <v>59</v>
      </c>
      <c r="H11" s="8" t="n">
        <v>34</v>
      </c>
      <c r="I11" s="8" t="s">
        <v>379</v>
      </c>
      <c r="J11" s="8" t="s">
        <v>387</v>
      </c>
    </row>
    <row r="12" customFormat="false" ht="15" hidden="false" customHeight="false" outlineLevel="0" collapsed="false">
      <c r="A12" s="8" t="s">
        <v>59</v>
      </c>
      <c r="B12" s="8" t="s">
        <v>61</v>
      </c>
      <c r="C12" s="8" t="s">
        <v>62</v>
      </c>
      <c r="D12" s="8" t="s">
        <v>388</v>
      </c>
      <c r="E12" s="8" t="s">
        <v>69</v>
      </c>
      <c r="F12" s="8" t="s">
        <v>362</v>
      </c>
      <c r="G12" s="8" t="n">
        <v>20</v>
      </c>
      <c r="H12" s="8" t="n">
        <v>11</v>
      </c>
      <c r="I12" s="8" t="s">
        <v>379</v>
      </c>
      <c r="J12" s="8" t="s">
        <v>389</v>
      </c>
    </row>
    <row r="13" customFormat="false" ht="15" hidden="false" customHeight="false" outlineLevel="0" collapsed="false">
      <c r="A13" s="8" t="s">
        <v>108</v>
      </c>
      <c r="B13" s="8" t="s">
        <v>61</v>
      </c>
      <c r="C13" s="8" t="s">
        <v>91</v>
      </c>
      <c r="D13" s="8" t="s">
        <v>360</v>
      </c>
      <c r="E13" s="8" t="s">
        <v>114</v>
      </c>
      <c r="F13" s="8" t="s">
        <v>362</v>
      </c>
      <c r="G13" s="8" t="n">
        <v>63</v>
      </c>
      <c r="H13" s="8" t="n">
        <v>32</v>
      </c>
      <c r="I13" s="8" t="s">
        <v>390</v>
      </c>
      <c r="J13" s="8" t="s">
        <v>391</v>
      </c>
    </row>
  </sheetData>
  <autoFilter ref="A1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5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5"/>
  </cols>
  <sheetData>
    <row r="1" customFormat="false" ht="26.85" hidden="false" customHeight="false" outlineLevel="0" collapsed="false">
      <c r="A1" s="10" t="s">
        <v>392</v>
      </c>
      <c r="B1" s="10" t="s">
        <v>51</v>
      </c>
      <c r="C1" s="10" t="s">
        <v>174</v>
      </c>
      <c r="D1" s="10" t="s">
        <v>393</v>
      </c>
      <c r="E1" s="10" t="s">
        <v>394</v>
      </c>
      <c r="F1" s="10" t="s">
        <v>395</v>
      </c>
      <c r="G1" s="10" t="s">
        <v>396</v>
      </c>
      <c r="H1" s="10" t="s">
        <v>397</v>
      </c>
    </row>
    <row r="2" customFormat="false" ht="27.75" hidden="false" customHeight="true" outlineLevel="0" collapsed="false">
      <c r="A2" s="8" t="s">
        <v>241</v>
      </c>
      <c r="B2" s="8" t="s">
        <v>91</v>
      </c>
      <c r="C2" s="8" t="s">
        <v>199</v>
      </c>
      <c r="D2" s="8" t="s">
        <v>398</v>
      </c>
      <c r="E2" s="8" t="s">
        <v>399</v>
      </c>
      <c r="F2" s="11" t="s">
        <v>64</v>
      </c>
      <c r="G2" s="8" t="n">
        <v>-15</v>
      </c>
      <c r="H2" s="8" t="s">
        <v>400</v>
      </c>
    </row>
    <row r="3" customFormat="false" ht="15" hidden="false" customHeight="false" outlineLevel="0" collapsed="false">
      <c r="A3" s="8" t="s">
        <v>241</v>
      </c>
      <c r="B3" s="8" t="s">
        <v>91</v>
      </c>
      <c r="C3" s="8" t="s">
        <v>199</v>
      </c>
      <c r="D3" s="8" t="s">
        <v>398</v>
      </c>
      <c r="E3" s="8" t="s">
        <v>401</v>
      </c>
      <c r="F3" s="12" t="s">
        <v>132</v>
      </c>
      <c r="G3" s="8" t="n">
        <v>2</v>
      </c>
      <c r="H3" s="8" t="s">
        <v>402</v>
      </c>
    </row>
    <row r="4" customFormat="false" ht="15" hidden="false" customHeight="false" outlineLevel="0" collapsed="false">
      <c r="A4" s="8" t="s">
        <v>293</v>
      </c>
      <c r="B4" s="8" t="s">
        <v>91</v>
      </c>
      <c r="C4" s="8" t="s">
        <v>199</v>
      </c>
      <c r="D4" s="8" t="s">
        <v>398</v>
      </c>
      <c r="E4" s="8" t="s">
        <v>403</v>
      </c>
      <c r="F4" s="11" t="s">
        <v>64</v>
      </c>
      <c r="G4" s="8" t="n">
        <v>-6</v>
      </c>
      <c r="H4" s="8" t="s">
        <v>402</v>
      </c>
    </row>
    <row r="5" customFormat="false" ht="27.75" hidden="false" customHeight="true" outlineLevel="0" collapsed="false">
      <c r="A5" s="8" t="s">
        <v>293</v>
      </c>
      <c r="B5" s="8" t="s">
        <v>91</v>
      </c>
      <c r="C5" s="8" t="s">
        <v>199</v>
      </c>
      <c r="D5" s="8" t="s">
        <v>404</v>
      </c>
      <c r="E5" s="8" t="s">
        <v>405</v>
      </c>
      <c r="F5" s="11" t="s">
        <v>64</v>
      </c>
      <c r="G5" s="8" t="n">
        <v>-3</v>
      </c>
      <c r="H5" s="8" t="s">
        <v>406</v>
      </c>
    </row>
    <row r="6" customFormat="false" ht="27.75" hidden="false" customHeight="true" outlineLevel="0" collapsed="false">
      <c r="A6" s="8" t="s">
        <v>293</v>
      </c>
      <c r="B6" s="8" t="s">
        <v>91</v>
      </c>
      <c r="C6" s="8" t="s">
        <v>199</v>
      </c>
      <c r="D6" s="8" t="s">
        <v>404</v>
      </c>
      <c r="E6" s="8" t="s">
        <v>407</v>
      </c>
      <c r="F6" s="17" t="s">
        <v>408</v>
      </c>
      <c r="G6" s="8" t="n">
        <v>-2</v>
      </c>
      <c r="H6" s="8" t="s">
        <v>409</v>
      </c>
    </row>
    <row r="7" customFormat="false" ht="15" hidden="false" customHeight="false" outlineLevel="0" collapsed="false">
      <c r="A7" s="8" t="s">
        <v>236</v>
      </c>
      <c r="B7" s="8" t="s">
        <v>91</v>
      </c>
      <c r="C7" s="8" t="s">
        <v>199</v>
      </c>
      <c r="D7" s="8" t="s">
        <v>398</v>
      </c>
      <c r="E7" s="8" t="s">
        <v>410</v>
      </c>
      <c r="F7" s="11" t="s">
        <v>64</v>
      </c>
      <c r="G7" s="8" t="n">
        <v>-3</v>
      </c>
      <c r="H7" s="8" t="s">
        <v>402</v>
      </c>
    </row>
    <row r="8" customFormat="false" ht="27.75" hidden="false" customHeight="true" outlineLevel="0" collapsed="false">
      <c r="A8" s="8" t="s">
        <v>236</v>
      </c>
      <c r="B8" s="8" t="s">
        <v>91</v>
      </c>
      <c r="C8" s="8" t="s">
        <v>199</v>
      </c>
      <c r="D8" s="8" t="s">
        <v>404</v>
      </c>
      <c r="E8" s="8" t="s">
        <v>411</v>
      </c>
      <c r="F8" s="17" t="s">
        <v>408</v>
      </c>
      <c r="G8" s="8" t="n">
        <v>-3</v>
      </c>
      <c r="H8" s="8" t="s">
        <v>412</v>
      </c>
    </row>
    <row r="9" customFormat="false" ht="15" hidden="false" customHeight="false" outlineLevel="0" collapsed="false">
      <c r="A9" s="8" t="s">
        <v>261</v>
      </c>
      <c r="B9" s="8" t="s">
        <v>91</v>
      </c>
      <c r="C9" s="8" t="s">
        <v>199</v>
      </c>
      <c r="D9" s="8" t="s">
        <v>398</v>
      </c>
      <c r="E9" s="8" t="s">
        <v>413</v>
      </c>
      <c r="F9" s="11" t="s">
        <v>64</v>
      </c>
      <c r="G9" s="8" t="n">
        <v>-6</v>
      </c>
      <c r="H9" s="8" t="s">
        <v>402</v>
      </c>
    </row>
    <row r="10" customFormat="false" ht="15" hidden="false" customHeight="false" outlineLevel="0" collapsed="false">
      <c r="A10" s="8" t="s">
        <v>414</v>
      </c>
      <c r="B10" s="8" t="s">
        <v>91</v>
      </c>
      <c r="C10" s="8" t="s">
        <v>199</v>
      </c>
      <c r="D10" s="8" t="s">
        <v>398</v>
      </c>
      <c r="E10" s="8" t="s">
        <v>415</v>
      </c>
      <c r="F10" s="11" t="s">
        <v>64</v>
      </c>
      <c r="G10" s="8" t="n">
        <v>-6</v>
      </c>
      <c r="H10" s="8" t="s">
        <v>402</v>
      </c>
    </row>
    <row r="11" customFormat="false" ht="27.75" hidden="false" customHeight="true" outlineLevel="0" collapsed="false">
      <c r="A11" s="8" t="s">
        <v>283</v>
      </c>
      <c r="B11" s="8" t="s">
        <v>91</v>
      </c>
      <c r="C11" s="8" t="s">
        <v>199</v>
      </c>
      <c r="D11" s="8" t="s">
        <v>398</v>
      </c>
      <c r="E11" s="8" t="s">
        <v>416</v>
      </c>
      <c r="F11" s="11" t="s">
        <v>64</v>
      </c>
      <c r="G11" s="8" t="n">
        <v>-6</v>
      </c>
      <c r="H11" s="8" t="s">
        <v>402</v>
      </c>
    </row>
    <row r="12" customFormat="false" ht="15" hidden="false" customHeight="false" outlineLevel="0" collapsed="false">
      <c r="A12" s="8" t="s">
        <v>283</v>
      </c>
      <c r="B12" s="8" t="s">
        <v>91</v>
      </c>
      <c r="C12" s="8" t="s">
        <v>199</v>
      </c>
      <c r="D12" s="8" t="s">
        <v>404</v>
      </c>
      <c r="E12" s="8" t="s">
        <v>417</v>
      </c>
      <c r="F12" s="11" t="s">
        <v>64</v>
      </c>
      <c r="G12" s="8" t="n">
        <v>-2</v>
      </c>
      <c r="H12" s="8" t="s">
        <v>418</v>
      </c>
    </row>
    <row r="13" customFormat="false" ht="15" hidden="false" customHeight="false" outlineLevel="0" collapsed="false">
      <c r="A13" s="8" t="s">
        <v>300</v>
      </c>
      <c r="B13" s="8" t="s">
        <v>91</v>
      </c>
      <c r="C13" s="8" t="s">
        <v>199</v>
      </c>
      <c r="D13" s="8" t="s">
        <v>398</v>
      </c>
      <c r="E13" s="8" t="s">
        <v>419</v>
      </c>
      <c r="F13" s="11" t="s">
        <v>64</v>
      </c>
      <c r="G13" s="8" t="n">
        <v>-3</v>
      </c>
      <c r="H13" s="8" t="s">
        <v>402</v>
      </c>
    </row>
    <row r="14" customFormat="false" ht="15" hidden="false" customHeight="false" outlineLevel="0" collapsed="false">
      <c r="A14" s="8" t="s">
        <v>198</v>
      </c>
      <c r="B14" s="8" t="s">
        <v>91</v>
      </c>
      <c r="C14" s="8" t="s">
        <v>199</v>
      </c>
      <c r="D14" s="8" t="s">
        <v>398</v>
      </c>
      <c r="E14" s="8" t="s">
        <v>420</v>
      </c>
      <c r="F14" s="11" t="s">
        <v>64</v>
      </c>
      <c r="G14" s="8" t="n">
        <v>-3</v>
      </c>
      <c r="H14" s="8" t="s">
        <v>402</v>
      </c>
    </row>
    <row r="15" customFormat="false" ht="27.75" hidden="false" customHeight="true" outlineLevel="0" collapsed="false">
      <c r="A15" s="8" t="s">
        <v>256</v>
      </c>
      <c r="B15" s="8" t="s">
        <v>91</v>
      </c>
      <c r="C15" s="8" t="s">
        <v>199</v>
      </c>
      <c r="D15" s="8" t="s">
        <v>421</v>
      </c>
      <c r="E15" s="8" t="s">
        <v>422</v>
      </c>
      <c r="F15" s="12" t="s">
        <v>132</v>
      </c>
      <c r="G15" s="8" t="n">
        <v>3</v>
      </c>
      <c r="H15" s="8" t="s">
        <v>423</v>
      </c>
    </row>
    <row r="16" customFormat="false" ht="15" hidden="false" customHeight="false" outlineLevel="0" collapsed="false">
      <c r="A16" s="8" t="s">
        <v>250</v>
      </c>
      <c r="B16" s="8" t="s">
        <v>91</v>
      </c>
      <c r="C16" s="8" t="s">
        <v>199</v>
      </c>
      <c r="D16" s="8" t="s">
        <v>421</v>
      </c>
      <c r="E16" s="8" t="s">
        <v>424</v>
      </c>
      <c r="F16" s="12" t="s">
        <v>132</v>
      </c>
      <c r="G16" s="8" t="n">
        <v>1</v>
      </c>
      <c r="H16" s="8" t="s">
        <v>425</v>
      </c>
    </row>
    <row r="17" customFormat="false" ht="15" hidden="false" customHeight="false" outlineLevel="0" collapsed="false">
      <c r="A17" s="8" t="s">
        <v>230</v>
      </c>
      <c r="B17" s="8" t="s">
        <v>91</v>
      </c>
      <c r="C17" s="8" t="s">
        <v>199</v>
      </c>
      <c r="D17" s="8" t="s">
        <v>421</v>
      </c>
      <c r="E17" s="8" t="s">
        <v>426</v>
      </c>
      <c r="F17" s="12" t="s">
        <v>132</v>
      </c>
      <c r="G17" s="8" t="n">
        <v>1</v>
      </c>
      <c r="H17" s="8" t="s">
        <v>425</v>
      </c>
    </row>
    <row r="18" customFormat="false" ht="27.75" hidden="false" customHeight="true" outlineLevel="0" collapsed="false">
      <c r="A18" s="8" t="s">
        <v>427</v>
      </c>
      <c r="B18" s="8" t="s">
        <v>62</v>
      </c>
      <c r="C18" s="8" t="s">
        <v>25</v>
      </c>
      <c r="D18" s="8" t="s">
        <v>398</v>
      </c>
      <c r="E18" s="8" t="s">
        <v>428</v>
      </c>
      <c r="F18" s="12" t="s">
        <v>132</v>
      </c>
      <c r="G18" s="8" t="n">
        <v>9</v>
      </c>
      <c r="H18" s="8" t="s">
        <v>402</v>
      </c>
    </row>
    <row r="19" customFormat="false" ht="27.75" hidden="false" customHeight="true" outlineLevel="0" collapsed="false">
      <c r="A19" s="8" t="s">
        <v>427</v>
      </c>
      <c r="B19" s="8" t="s">
        <v>62</v>
      </c>
      <c r="C19" s="8" t="s">
        <v>25</v>
      </c>
      <c r="D19" s="8" t="s">
        <v>421</v>
      </c>
      <c r="E19" s="8" t="s">
        <v>429</v>
      </c>
      <c r="F19" s="12" t="s">
        <v>132</v>
      </c>
      <c r="G19" s="8" t="n">
        <v>3</v>
      </c>
      <c r="H19" s="8" t="s">
        <v>430</v>
      </c>
    </row>
    <row r="20" customFormat="false" ht="27.75" hidden="false" customHeight="true" outlineLevel="0" collapsed="false">
      <c r="A20" s="8" t="s">
        <v>431</v>
      </c>
      <c r="B20" s="8" t="s">
        <v>62</v>
      </c>
      <c r="C20" s="8" t="s">
        <v>199</v>
      </c>
      <c r="D20" s="8" t="s">
        <v>398</v>
      </c>
      <c r="E20" s="8" t="s">
        <v>432</v>
      </c>
      <c r="F20" s="11" t="s">
        <v>64</v>
      </c>
      <c r="G20" s="8" t="n">
        <v>-9</v>
      </c>
      <c r="H20" s="8" t="s">
        <v>402</v>
      </c>
    </row>
    <row r="21" customFormat="false" ht="27.75" hidden="false" customHeight="true" outlineLevel="0" collapsed="false">
      <c r="A21" s="8" t="s">
        <v>431</v>
      </c>
      <c r="B21" s="8" t="s">
        <v>62</v>
      </c>
      <c r="C21" s="8" t="s">
        <v>199</v>
      </c>
      <c r="D21" s="8" t="s">
        <v>404</v>
      </c>
      <c r="E21" s="8" t="s">
        <v>433</v>
      </c>
      <c r="F21" s="11" t="s">
        <v>64</v>
      </c>
      <c r="G21" s="8" t="n">
        <v>-3</v>
      </c>
      <c r="H21" s="8" t="s">
        <v>434</v>
      </c>
    </row>
    <row r="22" customFormat="false" ht="27.75" hidden="false" customHeight="true" outlineLevel="0" collapsed="false">
      <c r="A22" s="8" t="s">
        <v>435</v>
      </c>
      <c r="B22" s="8" t="s">
        <v>62</v>
      </c>
      <c r="C22" s="8" t="s">
        <v>199</v>
      </c>
      <c r="D22" s="8" t="s">
        <v>398</v>
      </c>
      <c r="E22" s="8" t="s">
        <v>436</v>
      </c>
      <c r="F22" s="11" t="s">
        <v>64</v>
      </c>
      <c r="G22" s="8" t="n">
        <v>-9</v>
      </c>
      <c r="H22" s="8" t="s">
        <v>402</v>
      </c>
    </row>
    <row r="23" customFormat="false" ht="27.75" hidden="false" customHeight="true" outlineLevel="0" collapsed="false">
      <c r="A23" s="8" t="s">
        <v>435</v>
      </c>
      <c r="B23" s="8" t="s">
        <v>62</v>
      </c>
      <c r="C23" s="8" t="s">
        <v>199</v>
      </c>
      <c r="D23" s="8" t="s">
        <v>404</v>
      </c>
      <c r="E23" s="8" t="s">
        <v>437</v>
      </c>
      <c r="F23" s="11" t="s">
        <v>64</v>
      </c>
      <c r="G23" s="8" t="n">
        <v>-2</v>
      </c>
      <c r="H23" s="8" t="s">
        <v>412</v>
      </c>
    </row>
    <row r="24" customFormat="false" ht="15" hidden="false" customHeight="false" outlineLevel="0" collapsed="false">
      <c r="A24" s="8" t="s">
        <v>438</v>
      </c>
      <c r="B24" s="8" t="s">
        <v>62</v>
      </c>
      <c r="C24" s="8" t="s">
        <v>199</v>
      </c>
      <c r="D24" s="8" t="s">
        <v>421</v>
      </c>
      <c r="E24" s="8" t="s">
        <v>439</v>
      </c>
      <c r="F24" s="12" t="s">
        <v>132</v>
      </c>
      <c r="G24" s="8" t="n">
        <v>2</v>
      </c>
      <c r="H24" s="8" t="s">
        <v>440</v>
      </c>
    </row>
    <row r="25" customFormat="false" ht="15" hidden="false" customHeight="false" outlineLevel="0" collapsed="false">
      <c r="A25" s="8" t="s">
        <v>441</v>
      </c>
      <c r="B25" s="8" t="s">
        <v>62</v>
      </c>
      <c r="C25" s="8" t="s">
        <v>199</v>
      </c>
      <c r="D25" s="8" t="s">
        <v>404</v>
      </c>
      <c r="E25" s="8" t="s">
        <v>442</v>
      </c>
      <c r="F25" s="11" t="s">
        <v>64</v>
      </c>
      <c r="G25" s="8" t="n">
        <v>-2</v>
      </c>
      <c r="H25" s="8" t="s">
        <v>425</v>
      </c>
    </row>
    <row r="26" customFormat="false" ht="15" hidden="false" customHeight="false" outlineLevel="0" collapsed="false">
      <c r="A26" s="8" t="s">
        <v>328</v>
      </c>
      <c r="B26" s="8" t="s">
        <v>62</v>
      </c>
      <c r="C26" s="8" t="s">
        <v>25</v>
      </c>
      <c r="D26" s="8" t="s">
        <v>398</v>
      </c>
      <c r="E26" s="8" t="s">
        <v>443</v>
      </c>
      <c r="F26" s="12" t="s">
        <v>132</v>
      </c>
      <c r="G26" s="8" t="n">
        <v>2</v>
      </c>
      <c r="H26" s="8" t="s">
        <v>402</v>
      </c>
    </row>
    <row r="27" customFormat="false" ht="27.75" hidden="false" customHeight="true" outlineLevel="0" collapsed="false">
      <c r="A27" s="8" t="s">
        <v>201</v>
      </c>
      <c r="B27" s="8" t="s">
        <v>91</v>
      </c>
      <c r="C27" s="8" t="s">
        <v>25</v>
      </c>
      <c r="D27" s="8" t="s">
        <v>398</v>
      </c>
      <c r="E27" s="8" t="s">
        <v>444</v>
      </c>
      <c r="F27" s="12" t="s">
        <v>132</v>
      </c>
      <c r="G27" s="8" t="n">
        <v>5</v>
      </c>
      <c r="H27" s="8" t="s">
        <v>445</v>
      </c>
    </row>
    <row r="28" customFormat="false" ht="27.75" hidden="false" customHeight="true" outlineLevel="0" collapsed="false">
      <c r="A28" s="8" t="s">
        <v>196</v>
      </c>
      <c r="B28" s="8" t="s">
        <v>91</v>
      </c>
      <c r="C28" s="8" t="s">
        <v>25</v>
      </c>
      <c r="D28" s="8" t="s">
        <v>398</v>
      </c>
      <c r="E28" s="8" t="s">
        <v>446</v>
      </c>
      <c r="F28" s="12" t="s">
        <v>132</v>
      </c>
      <c r="G28" s="8" t="n">
        <v>5</v>
      </c>
      <c r="H28" s="8" t="s">
        <v>445</v>
      </c>
    </row>
    <row r="29" customFormat="false" ht="27.75" hidden="false" customHeight="true" outlineLevel="0" collapsed="false">
      <c r="A29" s="8" t="s">
        <v>221</v>
      </c>
      <c r="B29" s="8" t="s">
        <v>91</v>
      </c>
      <c r="C29" s="8" t="s">
        <v>25</v>
      </c>
      <c r="D29" s="8" t="s">
        <v>398</v>
      </c>
      <c r="E29" s="8" t="s">
        <v>447</v>
      </c>
      <c r="F29" s="12" t="s">
        <v>132</v>
      </c>
      <c r="G29" s="8" t="n">
        <v>5</v>
      </c>
      <c r="H29" s="8" t="s">
        <v>402</v>
      </c>
    </row>
    <row r="30" customFormat="false" ht="15" hidden="false" customHeight="false" outlineLevel="0" collapsed="false">
      <c r="A30" s="8" t="s">
        <v>448</v>
      </c>
      <c r="B30" s="8" t="s">
        <v>91</v>
      </c>
      <c r="C30" s="8" t="s">
        <v>25</v>
      </c>
      <c r="D30" s="8" t="s">
        <v>398</v>
      </c>
      <c r="E30" s="8" t="s">
        <v>449</v>
      </c>
      <c r="F30" s="12" t="s">
        <v>132</v>
      </c>
      <c r="G30" s="8" t="n">
        <v>2</v>
      </c>
      <c r="H30" s="8" t="s">
        <v>402</v>
      </c>
    </row>
    <row r="31" customFormat="false" ht="15" hidden="false" customHeight="false" outlineLevel="0" collapsed="false">
      <c r="A31" s="8" t="s">
        <v>450</v>
      </c>
      <c r="B31" s="8" t="s">
        <v>91</v>
      </c>
      <c r="C31" s="8" t="s">
        <v>25</v>
      </c>
      <c r="D31" s="8" t="s">
        <v>398</v>
      </c>
      <c r="E31" s="8" t="s">
        <v>451</v>
      </c>
      <c r="F31" s="12" t="s">
        <v>132</v>
      </c>
      <c r="G31" s="8" t="n">
        <v>3</v>
      </c>
      <c r="H31" s="8" t="s">
        <v>402</v>
      </c>
    </row>
    <row r="32" customFormat="false" ht="15" hidden="false" customHeight="false" outlineLevel="0" collapsed="false">
      <c r="A32" s="8" t="s">
        <v>335</v>
      </c>
      <c r="B32" s="8" t="s">
        <v>62</v>
      </c>
      <c r="C32" s="8" t="s">
        <v>199</v>
      </c>
      <c r="D32" s="8" t="s">
        <v>398</v>
      </c>
      <c r="E32" s="8" t="s">
        <v>452</v>
      </c>
      <c r="F32" s="11" t="s">
        <v>64</v>
      </c>
      <c r="G32" s="8" t="n">
        <v>-3</v>
      </c>
      <c r="H32" s="8" t="s">
        <v>402</v>
      </c>
    </row>
    <row r="33" customFormat="false" ht="15" hidden="false" customHeight="false" outlineLevel="0" collapsed="false">
      <c r="A33" s="8" t="s">
        <v>325</v>
      </c>
      <c r="B33" s="8" t="s">
        <v>62</v>
      </c>
      <c r="C33" s="8" t="s">
        <v>199</v>
      </c>
      <c r="D33" s="8" t="s">
        <v>398</v>
      </c>
      <c r="E33" s="8" t="s">
        <v>453</v>
      </c>
      <c r="F33" s="11" t="s">
        <v>64</v>
      </c>
      <c r="G33" s="8" t="n">
        <v>-3</v>
      </c>
      <c r="H33" s="8" t="s">
        <v>402</v>
      </c>
    </row>
    <row r="34" customFormat="false" ht="27.75" hidden="false" customHeight="true" outlineLevel="0" collapsed="false">
      <c r="A34" s="8" t="s">
        <v>454</v>
      </c>
      <c r="B34" s="8" t="s">
        <v>62</v>
      </c>
      <c r="C34" s="8" t="s">
        <v>199</v>
      </c>
      <c r="D34" s="8" t="s">
        <v>455</v>
      </c>
      <c r="E34" s="8" t="s">
        <v>456</v>
      </c>
      <c r="F34" s="18" t="s">
        <v>457</v>
      </c>
      <c r="G34" s="8" t="n">
        <v>1</v>
      </c>
      <c r="H34" s="8" t="s">
        <v>458</v>
      </c>
    </row>
    <row r="35" customFormat="false" ht="15" hidden="false" customHeight="false" outlineLevel="0" collapsed="false">
      <c r="A35" s="8" t="s">
        <v>232</v>
      </c>
      <c r="B35" s="8" t="s">
        <v>91</v>
      </c>
      <c r="C35" s="8" t="s">
        <v>199</v>
      </c>
      <c r="D35" s="8" t="s">
        <v>398</v>
      </c>
      <c r="E35" s="8" t="s">
        <v>459</v>
      </c>
      <c r="F35" s="11" t="s">
        <v>64</v>
      </c>
      <c r="G35" s="8" t="n">
        <v>-2</v>
      </c>
      <c r="H35" s="8" t="s">
        <v>402</v>
      </c>
    </row>
  </sheetData>
  <autoFilter ref="A1:H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2026-04-21T20:18:27Z</dcterms:created>
  <dc:creator>openpyxl</dc:creator>
  <dc:description/>
  <dc:language>en-US</dc:language>
  <cp:lastModifiedBy>Zachary Joseph</cp:lastModifiedBy>
  <dcterms:modified xsi:type="dcterms:W3CDTF">2026-04-21T20:27:13Z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